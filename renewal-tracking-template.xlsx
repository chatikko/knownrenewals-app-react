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acts" sheetId="1" state="visible" r:id="rId1"/>
    <sheet name="Dashboard" sheetId="2" state="visible" r:id="rId2"/>
    <sheet name="Instructions" sheetId="3" state="visible" r:id="rId3"/>
  </sheets>
  <definedNames>
    <definedName name="_xlnm._FilterDatabase" localSheetId="0" hidden="1">'Contracts'!$A$1:$P$500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dxfs count="3">
    <dxf>
      <fill>
        <patternFill patternType="solid">
          <fgColor rgb="00D9D9D9"/>
          <bgColor rgb="00D9D9D9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FFF2CC"/>
          <b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0" customWidth="1" min="3" max="3"/>
    <col width="14" customWidth="1" min="4" max="4"/>
    <col width="14" customWidth="1" min="5" max="5"/>
    <col width="14" customWidth="1" min="6" max="6"/>
    <col width="16" customWidth="1" min="7" max="7"/>
    <col width="16" customWidth="1" min="8" max="8"/>
    <col width="12" customWidth="1" min="9" max="9"/>
    <col width="18" customWidth="1" min="10" max="10"/>
    <col width="18" customWidth="1" min="11" max="11"/>
    <col width="18" customWidth="1" min="12" max="12"/>
    <col width="20" customWidth="1" min="13" max="13"/>
    <col width="16" customWidth="1" min="14" max="14"/>
    <col width="28" customWidth="1" min="15" max="15"/>
    <col width="16" customWidth="1" min="16" max="16"/>
  </cols>
  <sheetData>
    <row r="1">
      <c r="A1" s="1" t="inlineStr">
        <is>
          <t>Contract ID</t>
        </is>
      </c>
      <c r="B1" s="1" t="inlineStr">
        <is>
          <t>Contract Name</t>
        </is>
      </c>
      <c r="C1" s="1" t="inlineStr">
        <is>
          <t>Vendor</t>
        </is>
      </c>
      <c r="D1" s="1" t="inlineStr">
        <is>
          <t>Category</t>
        </is>
      </c>
      <c r="E1" s="1" t="inlineStr">
        <is>
          <t>Start Date</t>
        </is>
      </c>
      <c r="F1" s="1" t="inlineStr">
        <is>
          <t>Renewal Date</t>
        </is>
      </c>
      <c r="G1" s="1" t="inlineStr">
        <is>
          <t>Billing Frequency</t>
        </is>
      </c>
      <c r="H1" s="1" t="inlineStr">
        <is>
          <t>Contract Value</t>
        </is>
      </c>
      <c r="I1" s="1" t="inlineStr">
        <is>
          <t>Auto Renew</t>
        </is>
      </c>
      <c r="J1" s="1" t="inlineStr">
        <is>
          <t>Notice Period (Days)</t>
        </is>
      </c>
      <c r="K1" s="1" t="inlineStr">
        <is>
          <t>Renewal Notice Date</t>
        </is>
      </c>
      <c r="L1" s="1" t="inlineStr">
        <is>
          <t>Days Until Renewal</t>
        </is>
      </c>
      <c r="M1" s="1" t="inlineStr">
        <is>
          <t>Renewal Status</t>
        </is>
      </c>
      <c r="N1" s="1" t="inlineStr">
        <is>
          <t>Owner</t>
        </is>
      </c>
      <c r="O1" s="1" t="inlineStr">
        <is>
          <t>Notes</t>
        </is>
      </c>
      <c r="P1" s="1" t="inlineStr">
        <is>
          <t>Annualized Value</t>
        </is>
      </c>
    </row>
    <row r="2">
      <c r="E2" s="2" t="n"/>
      <c r="F2" s="2" t="n"/>
      <c r="H2" s="3" t="n"/>
      <c r="K2" s="2">
        <f>IF(F2="","",F2-J2)</f>
        <v/>
      </c>
      <c r="L2">
        <f>IF(F2="","",F2-TODAY())</f>
        <v/>
      </c>
      <c r="M2">
        <f>IF(F2="","",IF(L2&lt;0,"Expired",IF(L2&lt;=30,"⚠ Due in 30 Days",IF(L2&lt;=60,"Upcoming (60 Days)","Active"))))</f>
        <v/>
      </c>
      <c r="P2" s="3">
        <f>IF(G2="Monthly",H2*12,IF(G2="Quarterly",H2*4,IF(G2="Annual",H2,IF(G2="Multi-Year",H2/2,H2))))</f>
        <v/>
      </c>
    </row>
    <row r="3">
      <c r="E3" s="2" t="n"/>
      <c r="F3" s="2" t="n"/>
      <c r="H3" s="3" t="n"/>
      <c r="K3" s="2">
        <f>IF(F3="","",F3-J3)</f>
        <v/>
      </c>
      <c r="L3">
        <f>IF(F3="","",F3-TODAY())</f>
        <v/>
      </c>
      <c r="M3">
        <f>IF(F3="","",IF(L3&lt;0,"Expired",IF(L3&lt;=30,"⚠ Due in 30 Days",IF(L3&lt;=60,"Upcoming (60 Days)","Active"))))</f>
        <v/>
      </c>
      <c r="P3" s="3">
        <f>IF(G3="Monthly",H3*12,IF(G3="Quarterly",H3*4,IF(G3="Annual",H3,IF(G3="Multi-Year",H3/2,H3))))</f>
        <v/>
      </c>
    </row>
    <row r="4">
      <c r="E4" s="2" t="n"/>
      <c r="F4" s="2" t="n"/>
      <c r="H4" s="3" t="n"/>
      <c r="K4" s="2">
        <f>IF(F4="","",F4-J4)</f>
        <v/>
      </c>
      <c r="L4">
        <f>IF(F4="","",F4-TODAY())</f>
        <v/>
      </c>
      <c r="M4">
        <f>IF(F4="","",IF(L4&lt;0,"Expired",IF(L4&lt;=30,"⚠ Due in 30 Days",IF(L4&lt;=60,"Upcoming (60 Days)","Active"))))</f>
        <v/>
      </c>
      <c r="P4" s="3">
        <f>IF(G4="Monthly",H4*12,IF(G4="Quarterly",H4*4,IF(G4="Annual",H4,IF(G4="Multi-Year",H4/2,H4))))</f>
        <v/>
      </c>
    </row>
    <row r="5">
      <c r="E5" s="2" t="n"/>
      <c r="F5" s="2" t="n"/>
      <c r="H5" s="3" t="n"/>
      <c r="K5" s="2">
        <f>IF(F5="","",F5-J5)</f>
        <v/>
      </c>
      <c r="L5">
        <f>IF(F5="","",F5-TODAY())</f>
        <v/>
      </c>
      <c r="M5">
        <f>IF(F5="","",IF(L5&lt;0,"Expired",IF(L5&lt;=30,"⚠ Due in 30 Days",IF(L5&lt;=60,"Upcoming (60 Days)","Active"))))</f>
        <v/>
      </c>
      <c r="P5" s="3">
        <f>IF(G5="Monthly",H5*12,IF(G5="Quarterly",H5*4,IF(G5="Annual",H5,IF(G5="Multi-Year",H5/2,H5))))</f>
        <v/>
      </c>
    </row>
    <row r="6">
      <c r="E6" s="2" t="n"/>
      <c r="F6" s="2" t="n"/>
      <c r="H6" s="3" t="n"/>
      <c r="K6" s="2">
        <f>IF(F6="","",F6-J6)</f>
        <v/>
      </c>
      <c r="L6">
        <f>IF(F6="","",F6-TODAY())</f>
        <v/>
      </c>
      <c r="M6">
        <f>IF(F6="","",IF(L6&lt;0,"Expired",IF(L6&lt;=30,"⚠ Due in 30 Days",IF(L6&lt;=60,"Upcoming (60 Days)","Active"))))</f>
        <v/>
      </c>
      <c r="P6" s="3">
        <f>IF(G6="Monthly",H6*12,IF(G6="Quarterly",H6*4,IF(G6="Annual",H6,IF(G6="Multi-Year",H6/2,H6))))</f>
        <v/>
      </c>
    </row>
    <row r="7">
      <c r="E7" s="2" t="n"/>
      <c r="F7" s="2" t="n"/>
      <c r="H7" s="3" t="n"/>
      <c r="K7" s="2">
        <f>IF(F7="","",F7-J7)</f>
        <v/>
      </c>
      <c r="L7">
        <f>IF(F7="","",F7-TODAY())</f>
        <v/>
      </c>
      <c r="M7">
        <f>IF(F7="","",IF(L7&lt;0,"Expired",IF(L7&lt;=30,"⚠ Due in 30 Days",IF(L7&lt;=60,"Upcoming (60 Days)","Active"))))</f>
        <v/>
      </c>
      <c r="P7" s="3">
        <f>IF(G7="Monthly",H7*12,IF(G7="Quarterly",H7*4,IF(G7="Annual",H7,IF(G7="Multi-Year",H7/2,H7))))</f>
        <v/>
      </c>
    </row>
    <row r="8">
      <c r="E8" s="2" t="n"/>
      <c r="F8" s="2" t="n"/>
      <c r="H8" s="3" t="n"/>
      <c r="K8" s="2">
        <f>IF(F8="","",F8-J8)</f>
        <v/>
      </c>
      <c r="L8">
        <f>IF(F8="","",F8-TODAY())</f>
        <v/>
      </c>
      <c r="M8">
        <f>IF(F8="","",IF(L8&lt;0,"Expired",IF(L8&lt;=30,"⚠ Due in 30 Days",IF(L8&lt;=60,"Upcoming (60 Days)","Active"))))</f>
        <v/>
      </c>
      <c r="P8" s="3">
        <f>IF(G8="Monthly",H8*12,IF(G8="Quarterly",H8*4,IF(G8="Annual",H8,IF(G8="Multi-Year",H8/2,H8))))</f>
        <v/>
      </c>
    </row>
    <row r="9">
      <c r="E9" s="2" t="n"/>
      <c r="F9" s="2" t="n"/>
      <c r="H9" s="3" t="n"/>
      <c r="K9" s="2">
        <f>IF(F9="","",F9-J9)</f>
        <v/>
      </c>
      <c r="L9">
        <f>IF(F9="","",F9-TODAY())</f>
        <v/>
      </c>
      <c r="M9">
        <f>IF(F9="","",IF(L9&lt;0,"Expired",IF(L9&lt;=30,"⚠ Due in 30 Days",IF(L9&lt;=60,"Upcoming (60 Days)","Active"))))</f>
        <v/>
      </c>
      <c r="P9" s="3">
        <f>IF(G9="Monthly",H9*12,IF(G9="Quarterly",H9*4,IF(G9="Annual",H9,IF(G9="Multi-Year",H9/2,H9))))</f>
        <v/>
      </c>
    </row>
    <row r="10">
      <c r="E10" s="2" t="n"/>
      <c r="F10" s="2" t="n"/>
      <c r="H10" s="3" t="n"/>
      <c r="K10" s="2">
        <f>IF(F10="","",F10-J10)</f>
        <v/>
      </c>
      <c r="L10">
        <f>IF(F10="","",F10-TODAY())</f>
        <v/>
      </c>
      <c r="M10">
        <f>IF(F10="","",IF(L10&lt;0,"Expired",IF(L10&lt;=30,"⚠ Due in 30 Days",IF(L10&lt;=60,"Upcoming (60 Days)","Active"))))</f>
        <v/>
      </c>
      <c r="P10" s="3">
        <f>IF(G10="Monthly",H10*12,IF(G10="Quarterly",H10*4,IF(G10="Annual",H10,IF(G10="Multi-Year",H10/2,H10))))</f>
        <v/>
      </c>
    </row>
    <row r="11">
      <c r="E11" s="2" t="n"/>
      <c r="F11" s="2" t="n"/>
      <c r="H11" s="3" t="n"/>
      <c r="K11" s="2">
        <f>IF(F11="","",F11-J11)</f>
        <v/>
      </c>
      <c r="L11">
        <f>IF(F11="","",F11-TODAY())</f>
        <v/>
      </c>
      <c r="M11">
        <f>IF(F11="","",IF(L11&lt;0,"Expired",IF(L11&lt;=30,"⚠ Due in 30 Days",IF(L11&lt;=60,"Upcoming (60 Days)","Active"))))</f>
        <v/>
      </c>
      <c r="P11" s="3">
        <f>IF(G11="Monthly",H11*12,IF(G11="Quarterly",H11*4,IF(G11="Annual",H11,IF(G11="Multi-Year",H11/2,H11))))</f>
        <v/>
      </c>
    </row>
    <row r="12">
      <c r="E12" s="2" t="n"/>
      <c r="F12" s="2" t="n"/>
      <c r="H12" s="3" t="n"/>
      <c r="K12" s="2">
        <f>IF(F12="","",F12-J12)</f>
        <v/>
      </c>
      <c r="L12">
        <f>IF(F12="","",F12-TODAY())</f>
        <v/>
      </c>
      <c r="M12">
        <f>IF(F12="","",IF(L12&lt;0,"Expired",IF(L12&lt;=30,"⚠ Due in 30 Days",IF(L12&lt;=60,"Upcoming (60 Days)","Active"))))</f>
        <v/>
      </c>
      <c r="P12" s="3">
        <f>IF(G12="Monthly",H12*12,IF(G12="Quarterly",H12*4,IF(G12="Annual",H12,IF(G12="Multi-Year",H12/2,H12))))</f>
        <v/>
      </c>
    </row>
    <row r="13">
      <c r="E13" s="2" t="n"/>
      <c r="F13" s="2" t="n"/>
      <c r="H13" s="3" t="n"/>
      <c r="K13" s="2">
        <f>IF(F13="","",F13-J13)</f>
        <v/>
      </c>
      <c r="L13">
        <f>IF(F13="","",F13-TODAY())</f>
        <v/>
      </c>
      <c r="M13">
        <f>IF(F13="","",IF(L13&lt;0,"Expired",IF(L13&lt;=30,"⚠ Due in 30 Days",IF(L13&lt;=60,"Upcoming (60 Days)","Active"))))</f>
        <v/>
      </c>
      <c r="P13" s="3">
        <f>IF(G13="Monthly",H13*12,IF(G13="Quarterly",H13*4,IF(G13="Annual",H13,IF(G13="Multi-Year",H13/2,H13))))</f>
        <v/>
      </c>
    </row>
    <row r="14">
      <c r="E14" s="2" t="n"/>
      <c r="F14" s="2" t="n"/>
      <c r="H14" s="3" t="n"/>
      <c r="K14" s="2">
        <f>IF(F14="","",F14-J14)</f>
        <v/>
      </c>
      <c r="L14">
        <f>IF(F14="","",F14-TODAY())</f>
        <v/>
      </c>
      <c r="M14">
        <f>IF(F14="","",IF(L14&lt;0,"Expired",IF(L14&lt;=30,"⚠ Due in 30 Days",IF(L14&lt;=60,"Upcoming (60 Days)","Active"))))</f>
        <v/>
      </c>
      <c r="P14" s="3">
        <f>IF(G14="Monthly",H14*12,IF(G14="Quarterly",H14*4,IF(G14="Annual",H14,IF(G14="Multi-Year",H14/2,H14))))</f>
        <v/>
      </c>
    </row>
    <row r="15">
      <c r="E15" s="2" t="n"/>
      <c r="F15" s="2" t="n"/>
      <c r="H15" s="3" t="n"/>
      <c r="K15" s="2">
        <f>IF(F15="","",F15-J15)</f>
        <v/>
      </c>
      <c r="L15">
        <f>IF(F15="","",F15-TODAY())</f>
        <v/>
      </c>
      <c r="M15">
        <f>IF(F15="","",IF(L15&lt;0,"Expired",IF(L15&lt;=30,"⚠ Due in 30 Days",IF(L15&lt;=60,"Upcoming (60 Days)","Active"))))</f>
        <v/>
      </c>
      <c r="P15" s="3">
        <f>IF(G15="Monthly",H15*12,IF(G15="Quarterly",H15*4,IF(G15="Annual",H15,IF(G15="Multi-Year",H15/2,H15))))</f>
        <v/>
      </c>
    </row>
    <row r="16">
      <c r="E16" s="2" t="n"/>
      <c r="F16" s="2" t="n"/>
      <c r="H16" s="3" t="n"/>
      <c r="K16" s="2">
        <f>IF(F16="","",F16-J16)</f>
        <v/>
      </c>
      <c r="L16">
        <f>IF(F16="","",F16-TODAY())</f>
        <v/>
      </c>
      <c r="M16">
        <f>IF(F16="","",IF(L16&lt;0,"Expired",IF(L16&lt;=30,"⚠ Due in 30 Days",IF(L16&lt;=60,"Upcoming (60 Days)","Active"))))</f>
        <v/>
      </c>
      <c r="P16" s="3">
        <f>IF(G16="Monthly",H16*12,IF(G16="Quarterly",H16*4,IF(G16="Annual",H16,IF(G16="Multi-Year",H16/2,H16))))</f>
        <v/>
      </c>
    </row>
    <row r="17">
      <c r="E17" s="2" t="n"/>
      <c r="F17" s="2" t="n"/>
      <c r="H17" s="3" t="n"/>
      <c r="K17" s="2">
        <f>IF(F17="","",F17-J17)</f>
        <v/>
      </c>
      <c r="L17">
        <f>IF(F17="","",F17-TODAY())</f>
        <v/>
      </c>
      <c r="M17">
        <f>IF(F17="","",IF(L17&lt;0,"Expired",IF(L17&lt;=30,"⚠ Due in 30 Days",IF(L17&lt;=60,"Upcoming (60 Days)","Active"))))</f>
        <v/>
      </c>
      <c r="P17" s="3">
        <f>IF(G17="Monthly",H17*12,IF(G17="Quarterly",H17*4,IF(G17="Annual",H17,IF(G17="Multi-Year",H17/2,H17))))</f>
        <v/>
      </c>
    </row>
    <row r="18">
      <c r="E18" s="2" t="n"/>
      <c r="F18" s="2" t="n"/>
      <c r="H18" s="3" t="n"/>
      <c r="K18" s="2">
        <f>IF(F18="","",F18-J18)</f>
        <v/>
      </c>
      <c r="L18">
        <f>IF(F18="","",F18-TODAY())</f>
        <v/>
      </c>
      <c r="M18">
        <f>IF(F18="","",IF(L18&lt;0,"Expired",IF(L18&lt;=30,"⚠ Due in 30 Days",IF(L18&lt;=60,"Upcoming (60 Days)","Active"))))</f>
        <v/>
      </c>
      <c r="P18" s="3">
        <f>IF(G18="Monthly",H18*12,IF(G18="Quarterly",H18*4,IF(G18="Annual",H18,IF(G18="Multi-Year",H18/2,H18))))</f>
        <v/>
      </c>
    </row>
    <row r="19">
      <c r="E19" s="2" t="n"/>
      <c r="F19" s="2" t="n"/>
      <c r="H19" s="3" t="n"/>
      <c r="K19" s="2">
        <f>IF(F19="","",F19-J19)</f>
        <v/>
      </c>
      <c r="L19">
        <f>IF(F19="","",F19-TODAY())</f>
        <v/>
      </c>
      <c r="M19">
        <f>IF(F19="","",IF(L19&lt;0,"Expired",IF(L19&lt;=30,"⚠ Due in 30 Days",IF(L19&lt;=60,"Upcoming (60 Days)","Active"))))</f>
        <v/>
      </c>
      <c r="P19" s="3">
        <f>IF(G19="Monthly",H19*12,IF(G19="Quarterly",H19*4,IF(G19="Annual",H19,IF(G19="Multi-Year",H19/2,H19))))</f>
        <v/>
      </c>
    </row>
    <row r="20">
      <c r="E20" s="2" t="n"/>
      <c r="F20" s="2" t="n"/>
      <c r="H20" s="3" t="n"/>
      <c r="K20" s="2">
        <f>IF(F20="","",F20-J20)</f>
        <v/>
      </c>
      <c r="L20">
        <f>IF(F20="","",F20-TODAY())</f>
        <v/>
      </c>
      <c r="M20">
        <f>IF(F20="","",IF(L20&lt;0,"Expired",IF(L20&lt;=30,"⚠ Due in 30 Days",IF(L20&lt;=60,"Upcoming (60 Days)","Active"))))</f>
        <v/>
      </c>
      <c r="P20" s="3">
        <f>IF(G20="Monthly",H20*12,IF(G20="Quarterly",H20*4,IF(G20="Annual",H20,IF(G20="Multi-Year",H20/2,H20))))</f>
        <v/>
      </c>
    </row>
    <row r="21">
      <c r="E21" s="2" t="n"/>
      <c r="F21" s="2" t="n"/>
      <c r="H21" s="3" t="n"/>
      <c r="K21" s="2">
        <f>IF(F21="","",F21-J21)</f>
        <v/>
      </c>
      <c r="L21">
        <f>IF(F21="","",F21-TODAY())</f>
        <v/>
      </c>
      <c r="M21">
        <f>IF(F21="","",IF(L21&lt;0,"Expired",IF(L21&lt;=30,"⚠ Due in 30 Days",IF(L21&lt;=60,"Upcoming (60 Days)","Active"))))</f>
        <v/>
      </c>
      <c r="P21" s="3">
        <f>IF(G21="Monthly",H21*12,IF(G21="Quarterly",H21*4,IF(G21="Annual",H21,IF(G21="Multi-Year",H21/2,H21))))</f>
        <v/>
      </c>
    </row>
    <row r="22">
      <c r="E22" s="2" t="n"/>
      <c r="F22" s="2" t="n"/>
      <c r="H22" s="3" t="n"/>
      <c r="K22" s="2">
        <f>IF(F22="","",F22-J22)</f>
        <v/>
      </c>
      <c r="L22">
        <f>IF(F22="","",F22-TODAY())</f>
        <v/>
      </c>
      <c r="M22">
        <f>IF(F22="","",IF(L22&lt;0,"Expired",IF(L22&lt;=30,"⚠ Due in 30 Days",IF(L22&lt;=60,"Upcoming (60 Days)","Active"))))</f>
        <v/>
      </c>
      <c r="P22" s="3">
        <f>IF(G22="Monthly",H22*12,IF(G22="Quarterly",H22*4,IF(G22="Annual",H22,IF(G22="Multi-Year",H22/2,H22))))</f>
        <v/>
      </c>
    </row>
    <row r="23">
      <c r="E23" s="2" t="n"/>
      <c r="F23" s="2" t="n"/>
      <c r="H23" s="3" t="n"/>
      <c r="K23" s="2">
        <f>IF(F23="","",F23-J23)</f>
        <v/>
      </c>
      <c r="L23">
        <f>IF(F23="","",F23-TODAY())</f>
        <v/>
      </c>
      <c r="M23">
        <f>IF(F23="","",IF(L23&lt;0,"Expired",IF(L23&lt;=30,"⚠ Due in 30 Days",IF(L23&lt;=60,"Upcoming (60 Days)","Active"))))</f>
        <v/>
      </c>
      <c r="P23" s="3">
        <f>IF(G23="Monthly",H23*12,IF(G23="Quarterly",H23*4,IF(G23="Annual",H23,IF(G23="Multi-Year",H23/2,H23))))</f>
        <v/>
      </c>
    </row>
    <row r="24">
      <c r="E24" s="2" t="n"/>
      <c r="F24" s="2" t="n"/>
      <c r="H24" s="3" t="n"/>
      <c r="K24" s="2">
        <f>IF(F24="","",F24-J24)</f>
        <v/>
      </c>
      <c r="L24">
        <f>IF(F24="","",F24-TODAY())</f>
        <v/>
      </c>
      <c r="M24">
        <f>IF(F24="","",IF(L24&lt;0,"Expired",IF(L24&lt;=30,"⚠ Due in 30 Days",IF(L24&lt;=60,"Upcoming (60 Days)","Active"))))</f>
        <v/>
      </c>
      <c r="P24" s="3">
        <f>IF(G24="Monthly",H24*12,IF(G24="Quarterly",H24*4,IF(G24="Annual",H24,IF(G24="Multi-Year",H24/2,H24))))</f>
        <v/>
      </c>
    </row>
    <row r="25">
      <c r="E25" s="2" t="n"/>
      <c r="F25" s="2" t="n"/>
      <c r="H25" s="3" t="n"/>
      <c r="K25" s="2">
        <f>IF(F25="","",F25-J25)</f>
        <v/>
      </c>
      <c r="L25">
        <f>IF(F25="","",F25-TODAY())</f>
        <v/>
      </c>
      <c r="M25">
        <f>IF(F25="","",IF(L25&lt;0,"Expired",IF(L25&lt;=30,"⚠ Due in 30 Days",IF(L25&lt;=60,"Upcoming (60 Days)","Active"))))</f>
        <v/>
      </c>
      <c r="P25" s="3">
        <f>IF(G25="Monthly",H25*12,IF(G25="Quarterly",H25*4,IF(G25="Annual",H25,IF(G25="Multi-Year",H25/2,H25))))</f>
        <v/>
      </c>
    </row>
    <row r="26">
      <c r="E26" s="2" t="n"/>
      <c r="F26" s="2" t="n"/>
      <c r="H26" s="3" t="n"/>
      <c r="K26" s="2">
        <f>IF(F26="","",F26-J26)</f>
        <v/>
      </c>
      <c r="L26">
        <f>IF(F26="","",F26-TODAY())</f>
        <v/>
      </c>
      <c r="M26">
        <f>IF(F26="","",IF(L26&lt;0,"Expired",IF(L26&lt;=30,"⚠ Due in 30 Days",IF(L26&lt;=60,"Upcoming (60 Days)","Active"))))</f>
        <v/>
      </c>
      <c r="P26" s="3">
        <f>IF(G26="Monthly",H26*12,IF(G26="Quarterly",H26*4,IF(G26="Annual",H26,IF(G26="Multi-Year",H26/2,H26))))</f>
        <v/>
      </c>
    </row>
    <row r="27">
      <c r="E27" s="2" t="n"/>
      <c r="F27" s="2" t="n"/>
      <c r="H27" s="3" t="n"/>
      <c r="K27" s="2">
        <f>IF(F27="","",F27-J27)</f>
        <v/>
      </c>
      <c r="L27">
        <f>IF(F27="","",F27-TODAY())</f>
        <v/>
      </c>
      <c r="M27">
        <f>IF(F27="","",IF(L27&lt;0,"Expired",IF(L27&lt;=30,"⚠ Due in 30 Days",IF(L27&lt;=60,"Upcoming (60 Days)","Active"))))</f>
        <v/>
      </c>
      <c r="P27" s="3">
        <f>IF(G27="Monthly",H27*12,IF(G27="Quarterly",H27*4,IF(G27="Annual",H27,IF(G27="Multi-Year",H27/2,H27))))</f>
        <v/>
      </c>
    </row>
    <row r="28">
      <c r="E28" s="2" t="n"/>
      <c r="F28" s="2" t="n"/>
      <c r="H28" s="3" t="n"/>
      <c r="K28" s="2">
        <f>IF(F28="","",F28-J28)</f>
        <v/>
      </c>
      <c r="L28">
        <f>IF(F28="","",F28-TODAY())</f>
        <v/>
      </c>
      <c r="M28">
        <f>IF(F28="","",IF(L28&lt;0,"Expired",IF(L28&lt;=30,"⚠ Due in 30 Days",IF(L28&lt;=60,"Upcoming (60 Days)","Active"))))</f>
        <v/>
      </c>
      <c r="P28" s="3">
        <f>IF(G28="Monthly",H28*12,IF(G28="Quarterly",H28*4,IF(G28="Annual",H28,IF(G28="Multi-Year",H28/2,H28))))</f>
        <v/>
      </c>
    </row>
    <row r="29">
      <c r="E29" s="2" t="n"/>
      <c r="F29" s="2" t="n"/>
      <c r="H29" s="3" t="n"/>
      <c r="K29" s="2">
        <f>IF(F29="","",F29-J29)</f>
        <v/>
      </c>
      <c r="L29">
        <f>IF(F29="","",F29-TODAY())</f>
        <v/>
      </c>
      <c r="M29">
        <f>IF(F29="","",IF(L29&lt;0,"Expired",IF(L29&lt;=30,"⚠ Due in 30 Days",IF(L29&lt;=60,"Upcoming (60 Days)","Active"))))</f>
        <v/>
      </c>
      <c r="P29" s="3">
        <f>IF(G29="Monthly",H29*12,IF(G29="Quarterly",H29*4,IF(G29="Annual",H29,IF(G29="Multi-Year",H29/2,H29))))</f>
        <v/>
      </c>
    </row>
    <row r="30">
      <c r="E30" s="2" t="n"/>
      <c r="F30" s="2" t="n"/>
      <c r="H30" s="3" t="n"/>
      <c r="K30" s="2">
        <f>IF(F30="","",F30-J30)</f>
        <v/>
      </c>
      <c r="L30">
        <f>IF(F30="","",F30-TODAY())</f>
        <v/>
      </c>
      <c r="M30">
        <f>IF(F30="","",IF(L30&lt;0,"Expired",IF(L30&lt;=30,"⚠ Due in 30 Days",IF(L30&lt;=60,"Upcoming (60 Days)","Active"))))</f>
        <v/>
      </c>
      <c r="P30" s="3">
        <f>IF(G30="Monthly",H30*12,IF(G30="Quarterly",H30*4,IF(G30="Annual",H30,IF(G30="Multi-Year",H30/2,H30))))</f>
        <v/>
      </c>
    </row>
    <row r="31">
      <c r="E31" s="2" t="n"/>
      <c r="F31" s="2" t="n"/>
      <c r="H31" s="3" t="n"/>
      <c r="K31" s="2">
        <f>IF(F31="","",F31-J31)</f>
        <v/>
      </c>
      <c r="L31">
        <f>IF(F31="","",F31-TODAY())</f>
        <v/>
      </c>
      <c r="M31">
        <f>IF(F31="","",IF(L31&lt;0,"Expired",IF(L31&lt;=30,"⚠ Due in 30 Days",IF(L31&lt;=60,"Upcoming (60 Days)","Active"))))</f>
        <v/>
      </c>
      <c r="P31" s="3">
        <f>IF(G31="Monthly",H31*12,IF(G31="Quarterly",H31*4,IF(G31="Annual",H31,IF(G31="Multi-Year",H31/2,H31))))</f>
        <v/>
      </c>
    </row>
    <row r="32">
      <c r="E32" s="2" t="n"/>
      <c r="F32" s="2" t="n"/>
      <c r="H32" s="3" t="n"/>
      <c r="K32" s="2">
        <f>IF(F32="","",F32-J32)</f>
        <v/>
      </c>
      <c r="L32">
        <f>IF(F32="","",F32-TODAY())</f>
        <v/>
      </c>
      <c r="M32">
        <f>IF(F32="","",IF(L32&lt;0,"Expired",IF(L32&lt;=30,"⚠ Due in 30 Days",IF(L32&lt;=60,"Upcoming (60 Days)","Active"))))</f>
        <v/>
      </c>
      <c r="P32" s="3">
        <f>IF(G32="Monthly",H32*12,IF(G32="Quarterly",H32*4,IF(G32="Annual",H32,IF(G32="Multi-Year",H32/2,H32))))</f>
        <v/>
      </c>
    </row>
    <row r="33">
      <c r="E33" s="2" t="n"/>
      <c r="F33" s="2" t="n"/>
      <c r="H33" s="3" t="n"/>
      <c r="K33" s="2">
        <f>IF(F33="","",F33-J33)</f>
        <v/>
      </c>
      <c r="L33">
        <f>IF(F33="","",F33-TODAY())</f>
        <v/>
      </c>
      <c r="M33">
        <f>IF(F33="","",IF(L33&lt;0,"Expired",IF(L33&lt;=30,"⚠ Due in 30 Days",IF(L33&lt;=60,"Upcoming (60 Days)","Active"))))</f>
        <v/>
      </c>
      <c r="P33" s="3">
        <f>IF(G33="Monthly",H33*12,IF(G33="Quarterly",H33*4,IF(G33="Annual",H33,IF(G33="Multi-Year",H33/2,H33))))</f>
        <v/>
      </c>
    </row>
    <row r="34">
      <c r="E34" s="2" t="n"/>
      <c r="F34" s="2" t="n"/>
      <c r="H34" s="3" t="n"/>
      <c r="K34" s="2">
        <f>IF(F34="","",F34-J34)</f>
        <v/>
      </c>
      <c r="L34">
        <f>IF(F34="","",F34-TODAY())</f>
        <v/>
      </c>
      <c r="M34">
        <f>IF(F34="","",IF(L34&lt;0,"Expired",IF(L34&lt;=30,"⚠ Due in 30 Days",IF(L34&lt;=60,"Upcoming (60 Days)","Active"))))</f>
        <v/>
      </c>
      <c r="P34" s="3">
        <f>IF(G34="Monthly",H34*12,IF(G34="Quarterly",H34*4,IF(G34="Annual",H34,IF(G34="Multi-Year",H34/2,H34))))</f>
        <v/>
      </c>
    </row>
    <row r="35">
      <c r="E35" s="2" t="n"/>
      <c r="F35" s="2" t="n"/>
      <c r="H35" s="3" t="n"/>
      <c r="K35" s="2">
        <f>IF(F35="","",F35-J35)</f>
        <v/>
      </c>
      <c r="L35">
        <f>IF(F35="","",F35-TODAY())</f>
        <v/>
      </c>
      <c r="M35">
        <f>IF(F35="","",IF(L35&lt;0,"Expired",IF(L35&lt;=30,"⚠ Due in 30 Days",IF(L35&lt;=60,"Upcoming (60 Days)","Active"))))</f>
        <v/>
      </c>
      <c r="P35" s="3">
        <f>IF(G35="Monthly",H35*12,IF(G35="Quarterly",H35*4,IF(G35="Annual",H35,IF(G35="Multi-Year",H35/2,H35))))</f>
        <v/>
      </c>
    </row>
    <row r="36">
      <c r="E36" s="2" t="n"/>
      <c r="F36" s="2" t="n"/>
      <c r="H36" s="3" t="n"/>
      <c r="K36" s="2">
        <f>IF(F36="","",F36-J36)</f>
        <v/>
      </c>
      <c r="L36">
        <f>IF(F36="","",F36-TODAY())</f>
        <v/>
      </c>
      <c r="M36">
        <f>IF(F36="","",IF(L36&lt;0,"Expired",IF(L36&lt;=30,"⚠ Due in 30 Days",IF(L36&lt;=60,"Upcoming (60 Days)","Active"))))</f>
        <v/>
      </c>
      <c r="P36" s="3">
        <f>IF(G36="Monthly",H36*12,IF(G36="Quarterly",H36*4,IF(G36="Annual",H36,IF(G36="Multi-Year",H36/2,H36))))</f>
        <v/>
      </c>
    </row>
    <row r="37">
      <c r="E37" s="2" t="n"/>
      <c r="F37" s="2" t="n"/>
      <c r="H37" s="3" t="n"/>
      <c r="K37" s="2">
        <f>IF(F37="","",F37-J37)</f>
        <v/>
      </c>
      <c r="L37">
        <f>IF(F37="","",F37-TODAY())</f>
        <v/>
      </c>
      <c r="M37">
        <f>IF(F37="","",IF(L37&lt;0,"Expired",IF(L37&lt;=30,"⚠ Due in 30 Days",IF(L37&lt;=60,"Upcoming (60 Days)","Active"))))</f>
        <v/>
      </c>
      <c r="P37" s="3">
        <f>IF(G37="Monthly",H37*12,IF(G37="Quarterly",H37*4,IF(G37="Annual",H37,IF(G37="Multi-Year",H37/2,H37))))</f>
        <v/>
      </c>
    </row>
    <row r="38">
      <c r="E38" s="2" t="n"/>
      <c r="F38" s="2" t="n"/>
      <c r="H38" s="3" t="n"/>
      <c r="K38" s="2">
        <f>IF(F38="","",F38-J38)</f>
        <v/>
      </c>
      <c r="L38">
        <f>IF(F38="","",F38-TODAY())</f>
        <v/>
      </c>
      <c r="M38">
        <f>IF(F38="","",IF(L38&lt;0,"Expired",IF(L38&lt;=30,"⚠ Due in 30 Days",IF(L38&lt;=60,"Upcoming (60 Days)","Active"))))</f>
        <v/>
      </c>
      <c r="P38" s="3">
        <f>IF(G38="Monthly",H38*12,IF(G38="Quarterly",H38*4,IF(G38="Annual",H38,IF(G38="Multi-Year",H38/2,H38))))</f>
        <v/>
      </c>
    </row>
    <row r="39">
      <c r="E39" s="2" t="n"/>
      <c r="F39" s="2" t="n"/>
      <c r="H39" s="3" t="n"/>
      <c r="K39" s="2">
        <f>IF(F39="","",F39-J39)</f>
        <v/>
      </c>
      <c r="L39">
        <f>IF(F39="","",F39-TODAY())</f>
        <v/>
      </c>
      <c r="M39">
        <f>IF(F39="","",IF(L39&lt;0,"Expired",IF(L39&lt;=30,"⚠ Due in 30 Days",IF(L39&lt;=60,"Upcoming (60 Days)","Active"))))</f>
        <v/>
      </c>
      <c r="P39" s="3">
        <f>IF(G39="Monthly",H39*12,IF(G39="Quarterly",H39*4,IF(G39="Annual",H39,IF(G39="Multi-Year",H39/2,H39))))</f>
        <v/>
      </c>
    </row>
    <row r="40">
      <c r="E40" s="2" t="n"/>
      <c r="F40" s="2" t="n"/>
      <c r="H40" s="3" t="n"/>
      <c r="K40" s="2">
        <f>IF(F40="","",F40-J40)</f>
        <v/>
      </c>
      <c r="L40">
        <f>IF(F40="","",F40-TODAY())</f>
        <v/>
      </c>
      <c r="M40">
        <f>IF(F40="","",IF(L40&lt;0,"Expired",IF(L40&lt;=30,"⚠ Due in 30 Days",IF(L40&lt;=60,"Upcoming (60 Days)","Active"))))</f>
        <v/>
      </c>
      <c r="P40" s="3">
        <f>IF(G40="Monthly",H40*12,IF(G40="Quarterly",H40*4,IF(G40="Annual",H40,IF(G40="Multi-Year",H40/2,H40))))</f>
        <v/>
      </c>
    </row>
    <row r="41">
      <c r="E41" s="2" t="n"/>
      <c r="F41" s="2" t="n"/>
      <c r="H41" s="3" t="n"/>
      <c r="K41" s="2">
        <f>IF(F41="","",F41-J41)</f>
        <v/>
      </c>
      <c r="L41">
        <f>IF(F41="","",F41-TODAY())</f>
        <v/>
      </c>
      <c r="M41">
        <f>IF(F41="","",IF(L41&lt;0,"Expired",IF(L41&lt;=30,"⚠ Due in 30 Days",IF(L41&lt;=60,"Upcoming (60 Days)","Active"))))</f>
        <v/>
      </c>
      <c r="P41" s="3">
        <f>IF(G41="Monthly",H41*12,IF(G41="Quarterly",H41*4,IF(G41="Annual",H41,IF(G41="Multi-Year",H41/2,H41))))</f>
        <v/>
      </c>
    </row>
    <row r="42">
      <c r="E42" s="2" t="n"/>
      <c r="F42" s="2" t="n"/>
      <c r="H42" s="3" t="n"/>
      <c r="K42" s="2">
        <f>IF(F42="","",F42-J42)</f>
        <v/>
      </c>
      <c r="L42">
        <f>IF(F42="","",F42-TODAY())</f>
        <v/>
      </c>
      <c r="M42">
        <f>IF(F42="","",IF(L42&lt;0,"Expired",IF(L42&lt;=30,"⚠ Due in 30 Days",IF(L42&lt;=60,"Upcoming (60 Days)","Active"))))</f>
        <v/>
      </c>
      <c r="P42" s="3">
        <f>IF(G42="Monthly",H42*12,IF(G42="Quarterly",H42*4,IF(G42="Annual",H42,IF(G42="Multi-Year",H42/2,H42))))</f>
        <v/>
      </c>
    </row>
    <row r="43">
      <c r="E43" s="2" t="n"/>
      <c r="F43" s="2" t="n"/>
      <c r="H43" s="3" t="n"/>
      <c r="K43" s="2">
        <f>IF(F43="","",F43-J43)</f>
        <v/>
      </c>
      <c r="L43">
        <f>IF(F43="","",F43-TODAY())</f>
        <v/>
      </c>
      <c r="M43">
        <f>IF(F43="","",IF(L43&lt;0,"Expired",IF(L43&lt;=30,"⚠ Due in 30 Days",IF(L43&lt;=60,"Upcoming (60 Days)","Active"))))</f>
        <v/>
      </c>
      <c r="P43" s="3">
        <f>IF(G43="Monthly",H43*12,IF(G43="Quarterly",H43*4,IF(G43="Annual",H43,IF(G43="Multi-Year",H43/2,H43))))</f>
        <v/>
      </c>
    </row>
    <row r="44">
      <c r="E44" s="2" t="n"/>
      <c r="F44" s="2" t="n"/>
      <c r="H44" s="3" t="n"/>
      <c r="K44" s="2">
        <f>IF(F44="","",F44-J44)</f>
        <v/>
      </c>
      <c r="L44">
        <f>IF(F44="","",F44-TODAY())</f>
        <v/>
      </c>
      <c r="M44">
        <f>IF(F44="","",IF(L44&lt;0,"Expired",IF(L44&lt;=30,"⚠ Due in 30 Days",IF(L44&lt;=60,"Upcoming (60 Days)","Active"))))</f>
        <v/>
      </c>
      <c r="P44" s="3">
        <f>IF(G44="Monthly",H44*12,IF(G44="Quarterly",H44*4,IF(G44="Annual",H44,IF(G44="Multi-Year",H44/2,H44))))</f>
        <v/>
      </c>
    </row>
    <row r="45">
      <c r="E45" s="2" t="n"/>
      <c r="F45" s="2" t="n"/>
      <c r="H45" s="3" t="n"/>
      <c r="K45" s="2">
        <f>IF(F45="","",F45-J45)</f>
        <v/>
      </c>
      <c r="L45">
        <f>IF(F45="","",F45-TODAY())</f>
        <v/>
      </c>
      <c r="M45">
        <f>IF(F45="","",IF(L45&lt;0,"Expired",IF(L45&lt;=30,"⚠ Due in 30 Days",IF(L45&lt;=60,"Upcoming (60 Days)","Active"))))</f>
        <v/>
      </c>
      <c r="P45" s="3">
        <f>IF(G45="Monthly",H45*12,IF(G45="Quarterly",H45*4,IF(G45="Annual",H45,IF(G45="Multi-Year",H45/2,H45))))</f>
        <v/>
      </c>
    </row>
    <row r="46">
      <c r="E46" s="2" t="n"/>
      <c r="F46" s="2" t="n"/>
      <c r="H46" s="3" t="n"/>
      <c r="K46" s="2">
        <f>IF(F46="","",F46-J46)</f>
        <v/>
      </c>
      <c r="L46">
        <f>IF(F46="","",F46-TODAY())</f>
        <v/>
      </c>
      <c r="M46">
        <f>IF(F46="","",IF(L46&lt;0,"Expired",IF(L46&lt;=30,"⚠ Due in 30 Days",IF(L46&lt;=60,"Upcoming (60 Days)","Active"))))</f>
        <v/>
      </c>
      <c r="P46" s="3">
        <f>IF(G46="Monthly",H46*12,IF(G46="Quarterly",H46*4,IF(G46="Annual",H46,IF(G46="Multi-Year",H46/2,H46))))</f>
        <v/>
      </c>
    </row>
    <row r="47">
      <c r="E47" s="2" t="n"/>
      <c r="F47" s="2" t="n"/>
      <c r="H47" s="3" t="n"/>
      <c r="K47" s="2">
        <f>IF(F47="","",F47-J47)</f>
        <v/>
      </c>
      <c r="L47">
        <f>IF(F47="","",F47-TODAY())</f>
        <v/>
      </c>
      <c r="M47">
        <f>IF(F47="","",IF(L47&lt;0,"Expired",IF(L47&lt;=30,"⚠ Due in 30 Days",IF(L47&lt;=60,"Upcoming (60 Days)","Active"))))</f>
        <v/>
      </c>
      <c r="P47" s="3">
        <f>IF(G47="Monthly",H47*12,IF(G47="Quarterly",H47*4,IF(G47="Annual",H47,IF(G47="Multi-Year",H47/2,H47))))</f>
        <v/>
      </c>
    </row>
    <row r="48">
      <c r="E48" s="2" t="n"/>
      <c r="F48" s="2" t="n"/>
      <c r="H48" s="3" t="n"/>
      <c r="K48" s="2">
        <f>IF(F48="","",F48-J48)</f>
        <v/>
      </c>
      <c r="L48">
        <f>IF(F48="","",F48-TODAY())</f>
        <v/>
      </c>
      <c r="M48">
        <f>IF(F48="","",IF(L48&lt;0,"Expired",IF(L48&lt;=30,"⚠ Due in 30 Days",IF(L48&lt;=60,"Upcoming (60 Days)","Active"))))</f>
        <v/>
      </c>
      <c r="P48" s="3">
        <f>IF(G48="Monthly",H48*12,IF(G48="Quarterly",H48*4,IF(G48="Annual",H48,IF(G48="Multi-Year",H48/2,H48))))</f>
        <v/>
      </c>
    </row>
    <row r="49">
      <c r="E49" s="2" t="n"/>
      <c r="F49" s="2" t="n"/>
      <c r="H49" s="3" t="n"/>
      <c r="K49" s="2">
        <f>IF(F49="","",F49-J49)</f>
        <v/>
      </c>
      <c r="L49">
        <f>IF(F49="","",F49-TODAY())</f>
        <v/>
      </c>
      <c r="M49">
        <f>IF(F49="","",IF(L49&lt;0,"Expired",IF(L49&lt;=30,"⚠ Due in 30 Days",IF(L49&lt;=60,"Upcoming (60 Days)","Active"))))</f>
        <v/>
      </c>
      <c r="P49" s="3">
        <f>IF(G49="Monthly",H49*12,IF(G49="Quarterly",H49*4,IF(G49="Annual",H49,IF(G49="Multi-Year",H49/2,H49))))</f>
        <v/>
      </c>
    </row>
    <row r="50">
      <c r="E50" s="2" t="n"/>
      <c r="F50" s="2" t="n"/>
      <c r="H50" s="3" t="n"/>
      <c r="K50" s="2">
        <f>IF(F50="","",F50-J50)</f>
        <v/>
      </c>
      <c r="L50">
        <f>IF(F50="","",F50-TODAY())</f>
        <v/>
      </c>
      <c r="M50">
        <f>IF(F50="","",IF(L50&lt;0,"Expired",IF(L50&lt;=30,"⚠ Due in 30 Days",IF(L50&lt;=60,"Upcoming (60 Days)","Active"))))</f>
        <v/>
      </c>
      <c r="P50" s="3">
        <f>IF(G50="Monthly",H50*12,IF(G50="Quarterly",H50*4,IF(G50="Annual",H50,IF(G50="Multi-Year",H50/2,H50))))</f>
        <v/>
      </c>
    </row>
    <row r="51">
      <c r="E51" s="2" t="n"/>
      <c r="F51" s="2" t="n"/>
      <c r="H51" s="3" t="n"/>
      <c r="K51" s="2">
        <f>IF(F51="","",F51-J51)</f>
        <v/>
      </c>
      <c r="L51">
        <f>IF(F51="","",F51-TODAY())</f>
        <v/>
      </c>
      <c r="M51">
        <f>IF(F51="","",IF(L51&lt;0,"Expired",IF(L51&lt;=30,"⚠ Due in 30 Days",IF(L51&lt;=60,"Upcoming (60 Days)","Active"))))</f>
        <v/>
      </c>
      <c r="P51" s="3">
        <f>IF(G51="Monthly",H51*12,IF(G51="Quarterly",H51*4,IF(G51="Annual",H51,IF(G51="Multi-Year",H51/2,H51))))</f>
        <v/>
      </c>
    </row>
    <row r="52">
      <c r="E52" s="2" t="n"/>
      <c r="F52" s="2" t="n"/>
      <c r="H52" s="3" t="n"/>
      <c r="K52" s="2">
        <f>IF(F52="","",F52-J52)</f>
        <v/>
      </c>
      <c r="L52">
        <f>IF(F52="","",F52-TODAY())</f>
        <v/>
      </c>
      <c r="M52">
        <f>IF(F52="","",IF(L52&lt;0,"Expired",IF(L52&lt;=30,"⚠ Due in 30 Days",IF(L52&lt;=60,"Upcoming (60 Days)","Active"))))</f>
        <v/>
      </c>
      <c r="P52" s="3">
        <f>IF(G52="Monthly",H52*12,IF(G52="Quarterly",H52*4,IF(G52="Annual",H52,IF(G52="Multi-Year",H52/2,H52))))</f>
        <v/>
      </c>
    </row>
    <row r="53">
      <c r="E53" s="2" t="n"/>
      <c r="F53" s="2" t="n"/>
      <c r="H53" s="3" t="n"/>
      <c r="K53" s="2">
        <f>IF(F53="","",F53-J53)</f>
        <v/>
      </c>
      <c r="L53">
        <f>IF(F53="","",F53-TODAY())</f>
        <v/>
      </c>
      <c r="M53">
        <f>IF(F53="","",IF(L53&lt;0,"Expired",IF(L53&lt;=30,"⚠ Due in 30 Days",IF(L53&lt;=60,"Upcoming (60 Days)","Active"))))</f>
        <v/>
      </c>
      <c r="P53" s="3">
        <f>IF(G53="Monthly",H53*12,IF(G53="Quarterly",H53*4,IF(G53="Annual",H53,IF(G53="Multi-Year",H53/2,H53))))</f>
        <v/>
      </c>
    </row>
    <row r="54">
      <c r="E54" s="2" t="n"/>
      <c r="F54" s="2" t="n"/>
      <c r="H54" s="3" t="n"/>
      <c r="K54" s="2">
        <f>IF(F54="","",F54-J54)</f>
        <v/>
      </c>
      <c r="L54">
        <f>IF(F54="","",F54-TODAY())</f>
        <v/>
      </c>
      <c r="M54">
        <f>IF(F54="","",IF(L54&lt;0,"Expired",IF(L54&lt;=30,"⚠ Due in 30 Days",IF(L54&lt;=60,"Upcoming (60 Days)","Active"))))</f>
        <v/>
      </c>
      <c r="P54" s="3">
        <f>IF(G54="Monthly",H54*12,IF(G54="Quarterly",H54*4,IF(G54="Annual",H54,IF(G54="Multi-Year",H54/2,H54))))</f>
        <v/>
      </c>
    </row>
    <row r="55">
      <c r="E55" s="2" t="n"/>
      <c r="F55" s="2" t="n"/>
      <c r="H55" s="3" t="n"/>
      <c r="K55" s="2">
        <f>IF(F55="","",F55-J55)</f>
        <v/>
      </c>
      <c r="L55">
        <f>IF(F55="","",F55-TODAY())</f>
        <v/>
      </c>
      <c r="M55">
        <f>IF(F55="","",IF(L55&lt;0,"Expired",IF(L55&lt;=30,"⚠ Due in 30 Days",IF(L55&lt;=60,"Upcoming (60 Days)","Active"))))</f>
        <v/>
      </c>
      <c r="P55" s="3">
        <f>IF(G55="Monthly",H55*12,IF(G55="Quarterly",H55*4,IF(G55="Annual",H55,IF(G55="Multi-Year",H55/2,H55))))</f>
        <v/>
      </c>
    </row>
    <row r="56">
      <c r="E56" s="2" t="n"/>
      <c r="F56" s="2" t="n"/>
      <c r="H56" s="3" t="n"/>
      <c r="K56" s="2">
        <f>IF(F56="","",F56-J56)</f>
        <v/>
      </c>
      <c r="L56">
        <f>IF(F56="","",F56-TODAY())</f>
        <v/>
      </c>
      <c r="M56">
        <f>IF(F56="","",IF(L56&lt;0,"Expired",IF(L56&lt;=30,"⚠ Due in 30 Days",IF(L56&lt;=60,"Upcoming (60 Days)","Active"))))</f>
        <v/>
      </c>
      <c r="P56" s="3">
        <f>IF(G56="Monthly",H56*12,IF(G56="Quarterly",H56*4,IF(G56="Annual",H56,IF(G56="Multi-Year",H56/2,H56))))</f>
        <v/>
      </c>
    </row>
    <row r="57">
      <c r="E57" s="2" t="n"/>
      <c r="F57" s="2" t="n"/>
      <c r="H57" s="3" t="n"/>
      <c r="K57" s="2">
        <f>IF(F57="","",F57-J57)</f>
        <v/>
      </c>
      <c r="L57">
        <f>IF(F57="","",F57-TODAY())</f>
        <v/>
      </c>
      <c r="M57">
        <f>IF(F57="","",IF(L57&lt;0,"Expired",IF(L57&lt;=30,"⚠ Due in 30 Days",IF(L57&lt;=60,"Upcoming (60 Days)","Active"))))</f>
        <v/>
      </c>
      <c r="P57" s="3">
        <f>IF(G57="Monthly",H57*12,IF(G57="Quarterly",H57*4,IF(G57="Annual",H57,IF(G57="Multi-Year",H57/2,H57))))</f>
        <v/>
      </c>
    </row>
    <row r="58">
      <c r="E58" s="2" t="n"/>
      <c r="F58" s="2" t="n"/>
      <c r="H58" s="3" t="n"/>
      <c r="K58" s="2">
        <f>IF(F58="","",F58-J58)</f>
        <v/>
      </c>
      <c r="L58">
        <f>IF(F58="","",F58-TODAY())</f>
        <v/>
      </c>
      <c r="M58">
        <f>IF(F58="","",IF(L58&lt;0,"Expired",IF(L58&lt;=30,"⚠ Due in 30 Days",IF(L58&lt;=60,"Upcoming (60 Days)","Active"))))</f>
        <v/>
      </c>
      <c r="P58" s="3">
        <f>IF(G58="Monthly",H58*12,IF(G58="Quarterly",H58*4,IF(G58="Annual",H58,IF(G58="Multi-Year",H58/2,H58))))</f>
        <v/>
      </c>
    </row>
    <row r="59">
      <c r="E59" s="2" t="n"/>
      <c r="F59" s="2" t="n"/>
      <c r="H59" s="3" t="n"/>
      <c r="K59" s="2">
        <f>IF(F59="","",F59-J59)</f>
        <v/>
      </c>
      <c r="L59">
        <f>IF(F59="","",F59-TODAY())</f>
        <v/>
      </c>
      <c r="M59">
        <f>IF(F59="","",IF(L59&lt;0,"Expired",IF(L59&lt;=30,"⚠ Due in 30 Days",IF(L59&lt;=60,"Upcoming (60 Days)","Active"))))</f>
        <v/>
      </c>
      <c r="P59" s="3">
        <f>IF(G59="Monthly",H59*12,IF(G59="Quarterly",H59*4,IF(G59="Annual",H59,IF(G59="Multi-Year",H59/2,H59))))</f>
        <v/>
      </c>
    </row>
    <row r="60">
      <c r="E60" s="2" t="n"/>
      <c r="F60" s="2" t="n"/>
      <c r="H60" s="3" t="n"/>
      <c r="K60" s="2">
        <f>IF(F60="","",F60-J60)</f>
        <v/>
      </c>
      <c r="L60">
        <f>IF(F60="","",F60-TODAY())</f>
        <v/>
      </c>
      <c r="M60">
        <f>IF(F60="","",IF(L60&lt;0,"Expired",IF(L60&lt;=30,"⚠ Due in 30 Days",IF(L60&lt;=60,"Upcoming (60 Days)","Active"))))</f>
        <v/>
      </c>
      <c r="P60" s="3">
        <f>IF(G60="Monthly",H60*12,IF(G60="Quarterly",H60*4,IF(G60="Annual",H60,IF(G60="Multi-Year",H60/2,H60))))</f>
        <v/>
      </c>
    </row>
    <row r="61">
      <c r="E61" s="2" t="n"/>
      <c r="F61" s="2" t="n"/>
      <c r="H61" s="3" t="n"/>
      <c r="K61" s="2">
        <f>IF(F61="","",F61-J61)</f>
        <v/>
      </c>
      <c r="L61">
        <f>IF(F61="","",F61-TODAY())</f>
        <v/>
      </c>
      <c r="M61">
        <f>IF(F61="","",IF(L61&lt;0,"Expired",IF(L61&lt;=30,"⚠ Due in 30 Days",IF(L61&lt;=60,"Upcoming (60 Days)","Active"))))</f>
        <v/>
      </c>
      <c r="P61" s="3">
        <f>IF(G61="Monthly",H61*12,IF(G61="Quarterly",H61*4,IF(G61="Annual",H61,IF(G61="Multi-Year",H61/2,H61))))</f>
        <v/>
      </c>
    </row>
    <row r="62">
      <c r="E62" s="2" t="n"/>
      <c r="F62" s="2" t="n"/>
      <c r="H62" s="3" t="n"/>
      <c r="K62" s="2">
        <f>IF(F62="","",F62-J62)</f>
        <v/>
      </c>
      <c r="L62">
        <f>IF(F62="","",F62-TODAY())</f>
        <v/>
      </c>
      <c r="M62">
        <f>IF(F62="","",IF(L62&lt;0,"Expired",IF(L62&lt;=30,"⚠ Due in 30 Days",IF(L62&lt;=60,"Upcoming (60 Days)","Active"))))</f>
        <v/>
      </c>
      <c r="P62" s="3">
        <f>IF(G62="Monthly",H62*12,IF(G62="Quarterly",H62*4,IF(G62="Annual",H62,IF(G62="Multi-Year",H62/2,H62))))</f>
        <v/>
      </c>
    </row>
    <row r="63">
      <c r="E63" s="2" t="n"/>
      <c r="F63" s="2" t="n"/>
      <c r="H63" s="3" t="n"/>
      <c r="K63" s="2">
        <f>IF(F63="","",F63-J63)</f>
        <v/>
      </c>
      <c r="L63">
        <f>IF(F63="","",F63-TODAY())</f>
        <v/>
      </c>
      <c r="M63">
        <f>IF(F63="","",IF(L63&lt;0,"Expired",IF(L63&lt;=30,"⚠ Due in 30 Days",IF(L63&lt;=60,"Upcoming (60 Days)","Active"))))</f>
        <v/>
      </c>
      <c r="P63" s="3">
        <f>IF(G63="Monthly",H63*12,IF(G63="Quarterly",H63*4,IF(G63="Annual",H63,IF(G63="Multi-Year",H63/2,H63))))</f>
        <v/>
      </c>
    </row>
    <row r="64">
      <c r="E64" s="2" t="n"/>
      <c r="F64" s="2" t="n"/>
      <c r="H64" s="3" t="n"/>
      <c r="K64" s="2">
        <f>IF(F64="","",F64-J64)</f>
        <v/>
      </c>
      <c r="L64">
        <f>IF(F64="","",F64-TODAY())</f>
        <v/>
      </c>
      <c r="M64">
        <f>IF(F64="","",IF(L64&lt;0,"Expired",IF(L64&lt;=30,"⚠ Due in 30 Days",IF(L64&lt;=60,"Upcoming (60 Days)","Active"))))</f>
        <v/>
      </c>
      <c r="P64" s="3">
        <f>IF(G64="Monthly",H64*12,IF(G64="Quarterly",H64*4,IF(G64="Annual",H64,IF(G64="Multi-Year",H64/2,H64))))</f>
        <v/>
      </c>
    </row>
    <row r="65">
      <c r="E65" s="2" t="n"/>
      <c r="F65" s="2" t="n"/>
      <c r="H65" s="3" t="n"/>
      <c r="K65" s="2">
        <f>IF(F65="","",F65-J65)</f>
        <v/>
      </c>
      <c r="L65">
        <f>IF(F65="","",F65-TODAY())</f>
        <v/>
      </c>
      <c r="M65">
        <f>IF(F65="","",IF(L65&lt;0,"Expired",IF(L65&lt;=30,"⚠ Due in 30 Days",IF(L65&lt;=60,"Upcoming (60 Days)","Active"))))</f>
        <v/>
      </c>
      <c r="P65" s="3">
        <f>IF(G65="Monthly",H65*12,IF(G65="Quarterly",H65*4,IF(G65="Annual",H65,IF(G65="Multi-Year",H65/2,H65))))</f>
        <v/>
      </c>
    </row>
    <row r="66">
      <c r="E66" s="2" t="n"/>
      <c r="F66" s="2" t="n"/>
      <c r="H66" s="3" t="n"/>
      <c r="K66" s="2">
        <f>IF(F66="","",F66-J66)</f>
        <v/>
      </c>
      <c r="L66">
        <f>IF(F66="","",F66-TODAY())</f>
        <v/>
      </c>
      <c r="M66">
        <f>IF(F66="","",IF(L66&lt;0,"Expired",IF(L66&lt;=30,"⚠ Due in 30 Days",IF(L66&lt;=60,"Upcoming (60 Days)","Active"))))</f>
        <v/>
      </c>
      <c r="P66" s="3">
        <f>IF(G66="Monthly",H66*12,IF(G66="Quarterly",H66*4,IF(G66="Annual",H66,IF(G66="Multi-Year",H66/2,H66))))</f>
        <v/>
      </c>
    </row>
    <row r="67">
      <c r="E67" s="2" t="n"/>
      <c r="F67" s="2" t="n"/>
      <c r="H67" s="3" t="n"/>
      <c r="K67" s="2">
        <f>IF(F67="","",F67-J67)</f>
        <v/>
      </c>
      <c r="L67">
        <f>IF(F67="","",F67-TODAY())</f>
        <v/>
      </c>
      <c r="M67">
        <f>IF(F67="","",IF(L67&lt;0,"Expired",IF(L67&lt;=30,"⚠ Due in 30 Days",IF(L67&lt;=60,"Upcoming (60 Days)","Active"))))</f>
        <v/>
      </c>
      <c r="P67" s="3">
        <f>IF(G67="Monthly",H67*12,IF(G67="Quarterly",H67*4,IF(G67="Annual",H67,IF(G67="Multi-Year",H67/2,H67))))</f>
        <v/>
      </c>
    </row>
    <row r="68">
      <c r="E68" s="2" t="n"/>
      <c r="F68" s="2" t="n"/>
      <c r="H68" s="3" t="n"/>
      <c r="K68" s="2">
        <f>IF(F68="","",F68-J68)</f>
        <v/>
      </c>
      <c r="L68">
        <f>IF(F68="","",F68-TODAY())</f>
        <v/>
      </c>
      <c r="M68">
        <f>IF(F68="","",IF(L68&lt;0,"Expired",IF(L68&lt;=30,"⚠ Due in 30 Days",IF(L68&lt;=60,"Upcoming (60 Days)","Active"))))</f>
        <v/>
      </c>
      <c r="P68" s="3">
        <f>IF(G68="Monthly",H68*12,IF(G68="Quarterly",H68*4,IF(G68="Annual",H68,IF(G68="Multi-Year",H68/2,H68))))</f>
        <v/>
      </c>
    </row>
    <row r="69">
      <c r="E69" s="2" t="n"/>
      <c r="F69" s="2" t="n"/>
      <c r="H69" s="3" t="n"/>
      <c r="K69" s="2">
        <f>IF(F69="","",F69-J69)</f>
        <v/>
      </c>
      <c r="L69">
        <f>IF(F69="","",F69-TODAY())</f>
        <v/>
      </c>
      <c r="M69">
        <f>IF(F69="","",IF(L69&lt;0,"Expired",IF(L69&lt;=30,"⚠ Due in 30 Days",IF(L69&lt;=60,"Upcoming (60 Days)","Active"))))</f>
        <v/>
      </c>
      <c r="P69" s="3">
        <f>IF(G69="Monthly",H69*12,IF(G69="Quarterly",H69*4,IF(G69="Annual",H69,IF(G69="Multi-Year",H69/2,H69))))</f>
        <v/>
      </c>
    </row>
    <row r="70">
      <c r="E70" s="2" t="n"/>
      <c r="F70" s="2" t="n"/>
      <c r="H70" s="3" t="n"/>
      <c r="K70" s="2">
        <f>IF(F70="","",F70-J70)</f>
        <v/>
      </c>
      <c r="L70">
        <f>IF(F70="","",F70-TODAY())</f>
        <v/>
      </c>
      <c r="M70">
        <f>IF(F70="","",IF(L70&lt;0,"Expired",IF(L70&lt;=30,"⚠ Due in 30 Days",IF(L70&lt;=60,"Upcoming (60 Days)","Active"))))</f>
        <v/>
      </c>
      <c r="P70" s="3">
        <f>IF(G70="Monthly",H70*12,IF(G70="Quarterly",H70*4,IF(G70="Annual",H70,IF(G70="Multi-Year",H70/2,H70))))</f>
        <v/>
      </c>
    </row>
    <row r="71">
      <c r="E71" s="2" t="n"/>
      <c r="F71" s="2" t="n"/>
      <c r="H71" s="3" t="n"/>
      <c r="K71" s="2">
        <f>IF(F71="","",F71-J71)</f>
        <v/>
      </c>
      <c r="L71">
        <f>IF(F71="","",F71-TODAY())</f>
        <v/>
      </c>
      <c r="M71">
        <f>IF(F71="","",IF(L71&lt;0,"Expired",IF(L71&lt;=30,"⚠ Due in 30 Days",IF(L71&lt;=60,"Upcoming (60 Days)","Active"))))</f>
        <v/>
      </c>
      <c r="P71" s="3">
        <f>IF(G71="Monthly",H71*12,IF(G71="Quarterly",H71*4,IF(G71="Annual",H71,IF(G71="Multi-Year",H71/2,H71))))</f>
        <v/>
      </c>
    </row>
    <row r="72">
      <c r="E72" s="2" t="n"/>
      <c r="F72" s="2" t="n"/>
      <c r="H72" s="3" t="n"/>
      <c r="K72" s="2">
        <f>IF(F72="","",F72-J72)</f>
        <v/>
      </c>
      <c r="L72">
        <f>IF(F72="","",F72-TODAY())</f>
        <v/>
      </c>
      <c r="M72">
        <f>IF(F72="","",IF(L72&lt;0,"Expired",IF(L72&lt;=30,"⚠ Due in 30 Days",IF(L72&lt;=60,"Upcoming (60 Days)","Active"))))</f>
        <v/>
      </c>
      <c r="P72" s="3">
        <f>IF(G72="Monthly",H72*12,IF(G72="Quarterly",H72*4,IF(G72="Annual",H72,IF(G72="Multi-Year",H72/2,H72))))</f>
        <v/>
      </c>
    </row>
    <row r="73">
      <c r="E73" s="2" t="n"/>
      <c r="F73" s="2" t="n"/>
      <c r="H73" s="3" t="n"/>
      <c r="K73" s="2">
        <f>IF(F73="","",F73-J73)</f>
        <v/>
      </c>
      <c r="L73">
        <f>IF(F73="","",F73-TODAY())</f>
        <v/>
      </c>
      <c r="M73">
        <f>IF(F73="","",IF(L73&lt;0,"Expired",IF(L73&lt;=30,"⚠ Due in 30 Days",IF(L73&lt;=60,"Upcoming (60 Days)","Active"))))</f>
        <v/>
      </c>
      <c r="P73" s="3">
        <f>IF(G73="Monthly",H73*12,IF(G73="Quarterly",H73*4,IF(G73="Annual",H73,IF(G73="Multi-Year",H73/2,H73))))</f>
        <v/>
      </c>
    </row>
    <row r="74">
      <c r="E74" s="2" t="n"/>
      <c r="F74" s="2" t="n"/>
      <c r="H74" s="3" t="n"/>
      <c r="K74" s="2">
        <f>IF(F74="","",F74-J74)</f>
        <v/>
      </c>
      <c r="L74">
        <f>IF(F74="","",F74-TODAY())</f>
        <v/>
      </c>
      <c r="M74">
        <f>IF(F74="","",IF(L74&lt;0,"Expired",IF(L74&lt;=30,"⚠ Due in 30 Days",IF(L74&lt;=60,"Upcoming (60 Days)","Active"))))</f>
        <v/>
      </c>
      <c r="P74" s="3">
        <f>IF(G74="Monthly",H74*12,IF(G74="Quarterly",H74*4,IF(G74="Annual",H74,IF(G74="Multi-Year",H74/2,H74))))</f>
        <v/>
      </c>
    </row>
    <row r="75">
      <c r="E75" s="2" t="n"/>
      <c r="F75" s="2" t="n"/>
      <c r="H75" s="3" t="n"/>
      <c r="K75" s="2">
        <f>IF(F75="","",F75-J75)</f>
        <v/>
      </c>
      <c r="L75">
        <f>IF(F75="","",F75-TODAY())</f>
        <v/>
      </c>
      <c r="M75">
        <f>IF(F75="","",IF(L75&lt;0,"Expired",IF(L75&lt;=30,"⚠ Due in 30 Days",IF(L75&lt;=60,"Upcoming (60 Days)","Active"))))</f>
        <v/>
      </c>
      <c r="P75" s="3">
        <f>IF(G75="Monthly",H75*12,IF(G75="Quarterly",H75*4,IF(G75="Annual",H75,IF(G75="Multi-Year",H75/2,H75))))</f>
        <v/>
      </c>
    </row>
    <row r="76">
      <c r="E76" s="2" t="n"/>
      <c r="F76" s="2" t="n"/>
      <c r="H76" s="3" t="n"/>
      <c r="K76" s="2">
        <f>IF(F76="","",F76-J76)</f>
        <v/>
      </c>
      <c r="L76">
        <f>IF(F76="","",F76-TODAY())</f>
        <v/>
      </c>
      <c r="M76">
        <f>IF(F76="","",IF(L76&lt;0,"Expired",IF(L76&lt;=30,"⚠ Due in 30 Days",IF(L76&lt;=60,"Upcoming (60 Days)","Active"))))</f>
        <v/>
      </c>
      <c r="P76" s="3">
        <f>IF(G76="Monthly",H76*12,IF(G76="Quarterly",H76*4,IF(G76="Annual",H76,IF(G76="Multi-Year",H76/2,H76))))</f>
        <v/>
      </c>
    </row>
    <row r="77">
      <c r="E77" s="2" t="n"/>
      <c r="F77" s="2" t="n"/>
      <c r="H77" s="3" t="n"/>
      <c r="K77" s="2">
        <f>IF(F77="","",F77-J77)</f>
        <v/>
      </c>
      <c r="L77">
        <f>IF(F77="","",F77-TODAY())</f>
        <v/>
      </c>
      <c r="M77">
        <f>IF(F77="","",IF(L77&lt;0,"Expired",IF(L77&lt;=30,"⚠ Due in 30 Days",IF(L77&lt;=60,"Upcoming (60 Days)","Active"))))</f>
        <v/>
      </c>
      <c r="P77" s="3">
        <f>IF(G77="Monthly",H77*12,IF(G77="Quarterly",H77*4,IF(G77="Annual",H77,IF(G77="Multi-Year",H77/2,H77))))</f>
        <v/>
      </c>
    </row>
    <row r="78">
      <c r="E78" s="2" t="n"/>
      <c r="F78" s="2" t="n"/>
      <c r="H78" s="3" t="n"/>
      <c r="K78" s="2">
        <f>IF(F78="","",F78-J78)</f>
        <v/>
      </c>
      <c r="L78">
        <f>IF(F78="","",F78-TODAY())</f>
        <v/>
      </c>
      <c r="M78">
        <f>IF(F78="","",IF(L78&lt;0,"Expired",IF(L78&lt;=30,"⚠ Due in 30 Days",IF(L78&lt;=60,"Upcoming (60 Days)","Active"))))</f>
        <v/>
      </c>
      <c r="P78" s="3">
        <f>IF(G78="Monthly",H78*12,IF(G78="Quarterly",H78*4,IF(G78="Annual",H78,IF(G78="Multi-Year",H78/2,H78))))</f>
        <v/>
      </c>
    </row>
    <row r="79">
      <c r="E79" s="2" t="n"/>
      <c r="F79" s="2" t="n"/>
      <c r="H79" s="3" t="n"/>
      <c r="K79" s="2">
        <f>IF(F79="","",F79-J79)</f>
        <v/>
      </c>
      <c r="L79">
        <f>IF(F79="","",F79-TODAY())</f>
        <v/>
      </c>
      <c r="M79">
        <f>IF(F79="","",IF(L79&lt;0,"Expired",IF(L79&lt;=30,"⚠ Due in 30 Days",IF(L79&lt;=60,"Upcoming (60 Days)","Active"))))</f>
        <v/>
      </c>
      <c r="P79" s="3">
        <f>IF(G79="Monthly",H79*12,IF(G79="Quarterly",H79*4,IF(G79="Annual",H79,IF(G79="Multi-Year",H79/2,H79))))</f>
        <v/>
      </c>
    </row>
    <row r="80">
      <c r="E80" s="2" t="n"/>
      <c r="F80" s="2" t="n"/>
      <c r="H80" s="3" t="n"/>
      <c r="K80" s="2">
        <f>IF(F80="","",F80-J80)</f>
        <v/>
      </c>
      <c r="L80">
        <f>IF(F80="","",F80-TODAY())</f>
        <v/>
      </c>
      <c r="M80">
        <f>IF(F80="","",IF(L80&lt;0,"Expired",IF(L80&lt;=30,"⚠ Due in 30 Days",IF(L80&lt;=60,"Upcoming (60 Days)","Active"))))</f>
        <v/>
      </c>
      <c r="P80" s="3">
        <f>IF(G80="Monthly",H80*12,IF(G80="Quarterly",H80*4,IF(G80="Annual",H80,IF(G80="Multi-Year",H80/2,H80))))</f>
        <v/>
      </c>
    </row>
    <row r="81">
      <c r="E81" s="2" t="n"/>
      <c r="F81" s="2" t="n"/>
      <c r="H81" s="3" t="n"/>
      <c r="K81" s="2">
        <f>IF(F81="","",F81-J81)</f>
        <v/>
      </c>
      <c r="L81">
        <f>IF(F81="","",F81-TODAY())</f>
        <v/>
      </c>
      <c r="M81">
        <f>IF(F81="","",IF(L81&lt;0,"Expired",IF(L81&lt;=30,"⚠ Due in 30 Days",IF(L81&lt;=60,"Upcoming (60 Days)","Active"))))</f>
        <v/>
      </c>
      <c r="P81" s="3">
        <f>IF(G81="Monthly",H81*12,IF(G81="Quarterly",H81*4,IF(G81="Annual",H81,IF(G81="Multi-Year",H81/2,H81))))</f>
        <v/>
      </c>
    </row>
    <row r="82">
      <c r="E82" s="2" t="n"/>
      <c r="F82" s="2" t="n"/>
      <c r="H82" s="3" t="n"/>
      <c r="K82" s="2">
        <f>IF(F82="","",F82-J82)</f>
        <v/>
      </c>
      <c r="L82">
        <f>IF(F82="","",F82-TODAY())</f>
        <v/>
      </c>
      <c r="M82">
        <f>IF(F82="","",IF(L82&lt;0,"Expired",IF(L82&lt;=30,"⚠ Due in 30 Days",IF(L82&lt;=60,"Upcoming (60 Days)","Active"))))</f>
        <v/>
      </c>
      <c r="P82" s="3">
        <f>IF(G82="Monthly",H82*12,IF(G82="Quarterly",H82*4,IF(G82="Annual",H82,IF(G82="Multi-Year",H82/2,H82))))</f>
        <v/>
      </c>
    </row>
    <row r="83">
      <c r="E83" s="2" t="n"/>
      <c r="F83" s="2" t="n"/>
      <c r="H83" s="3" t="n"/>
      <c r="K83" s="2">
        <f>IF(F83="","",F83-J83)</f>
        <v/>
      </c>
      <c r="L83">
        <f>IF(F83="","",F83-TODAY())</f>
        <v/>
      </c>
      <c r="M83">
        <f>IF(F83="","",IF(L83&lt;0,"Expired",IF(L83&lt;=30,"⚠ Due in 30 Days",IF(L83&lt;=60,"Upcoming (60 Days)","Active"))))</f>
        <v/>
      </c>
      <c r="P83" s="3">
        <f>IF(G83="Monthly",H83*12,IF(G83="Quarterly",H83*4,IF(G83="Annual",H83,IF(G83="Multi-Year",H83/2,H83))))</f>
        <v/>
      </c>
    </row>
    <row r="84">
      <c r="E84" s="2" t="n"/>
      <c r="F84" s="2" t="n"/>
      <c r="H84" s="3" t="n"/>
      <c r="K84" s="2">
        <f>IF(F84="","",F84-J84)</f>
        <v/>
      </c>
      <c r="L84">
        <f>IF(F84="","",F84-TODAY())</f>
        <v/>
      </c>
      <c r="M84">
        <f>IF(F84="","",IF(L84&lt;0,"Expired",IF(L84&lt;=30,"⚠ Due in 30 Days",IF(L84&lt;=60,"Upcoming (60 Days)","Active"))))</f>
        <v/>
      </c>
      <c r="P84" s="3">
        <f>IF(G84="Monthly",H84*12,IF(G84="Quarterly",H84*4,IF(G84="Annual",H84,IF(G84="Multi-Year",H84/2,H84))))</f>
        <v/>
      </c>
    </row>
    <row r="85">
      <c r="E85" s="2" t="n"/>
      <c r="F85" s="2" t="n"/>
      <c r="H85" s="3" t="n"/>
      <c r="K85" s="2">
        <f>IF(F85="","",F85-J85)</f>
        <v/>
      </c>
      <c r="L85">
        <f>IF(F85="","",F85-TODAY())</f>
        <v/>
      </c>
      <c r="M85">
        <f>IF(F85="","",IF(L85&lt;0,"Expired",IF(L85&lt;=30,"⚠ Due in 30 Days",IF(L85&lt;=60,"Upcoming (60 Days)","Active"))))</f>
        <v/>
      </c>
      <c r="P85" s="3">
        <f>IF(G85="Monthly",H85*12,IF(G85="Quarterly",H85*4,IF(G85="Annual",H85,IF(G85="Multi-Year",H85/2,H85))))</f>
        <v/>
      </c>
    </row>
    <row r="86">
      <c r="E86" s="2" t="n"/>
      <c r="F86" s="2" t="n"/>
      <c r="H86" s="3" t="n"/>
      <c r="K86" s="2">
        <f>IF(F86="","",F86-J86)</f>
        <v/>
      </c>
      <c r="L86">
        <f>IF(F86="","",F86-TODAY())</f>
        <v/>
      </c>
      <c r="M86">
        <f>IF(F86="","",IF(L86&lt;0,"Expired",IF(L86&lt;=30,"⚠ Due in 30 Days",IF(L86&lt;=60,"Upcoming (60 Days)","Active"))))</f>
        <v/>
      </c>
      <c r="P86" s="3">
        <f>IF(G86="Monthly",H86*12,IF(G86="Quarterly",H86*4,IF(G86="Annual",H86,IF(G86="Multi-Year",H86/2,H86))))</f>
        <v/>
      </c>
    </row>
    <row r="87">
      <c r="E87" s="2" t="n"/>
      <c r="F87" s="2" t="n"/>
      <c r="H87" s="3" t="n"/>
      <c r="K87" s="2">
        <f>IF(F87="","",F87-J87)</f>
        <v/>
      </c>
      <c r="L87">
        <f>IF(F87="","",F87-TODAY())</f>
        <v/>
      </c>
      <c r="M87">
        <f>IF(F87="","",IF(L87&lt;0,"Expired",IF(L87&lt;=30,"⚠ Due in 30 Days",IF(L87&lt;=60,"Upcoming (60 Days)","Active"))))</f>
        <v/>
      </c>
      <c r="P87" s="3">
        <f>IF(G87="Monthly",H87*12,IF(G87="Quarterly",H87*4,IF(G87="Annual",H87,IF(G87="Multi-Year",H87/2,H87))))</f>
        <v/>
      </c>
    </row>
    <row r="88">
      <c r="E88" s="2" t="n"/>
      <c r="F88" s="2" t="n"/>
      <c r="H88" s="3" t="n"/>
      <c r="K88" s="2">
        <f>IF(F88="","",F88-J88)</f>
        <v/>
      </c>
      <c r="L88">
        <f>IF(F88="","",F88-TODAY())</f>
        <v/>
      </c>
      <c r="M88">
        <f>IF(F88="","",IF(L88&lt;0,"Expired",IF(L88&lt;=30,"⚠ Due in 30 Days",IF(L88&lt;=60,"Upcoming (60 Days)","Active"))))</f>
        <v/>
      </c>
      <c r="P88" s="3">
        <f>IF(G88="Monthly",H88*12,IF(G88="Quarterly",H88*4,IF(G88="Annual",H88,IF(G88="Multi-Year",H88/2,H88))))</f>
        <v/>
      </c>
    </row>
    <row r="89">
      <c r="E89" s="2" t="n"/>
      <c r="F89" s="2" t="n"/>
      <c r="H89" s="3" t="n"/>
      <c r="K89" s="2">
        <f>IF(F89="","",F89-J89)</f>
        <v/>
      </c>
      <c r="L89">
        <f>IF(F89="","",F89-TODAY())</f>
        <v/>
      </c>
      <c r="M89">
        <f>IF(F89="","",IF(L89&lt;0,"Expired",IF(L89&lt;=30,"⚠ Due in 30 Days",IF(L89&lt;=60,"Upcoming (60 Days)","Active"))))</f>
        <v/>
      </c>
      <c r="P89" s="3">
        <f>IF(G89="Monthly",H89*12,IF(G89="Quarterly",H89*4,IF(G89="Annual",H89,IF(G89="Multi-Year",H89/2,H89))))</f>
        <v/>
      </c>
    </row>
    <row r="90">
      <c r="E90" s="2" t="n"/>
      <c r="F90" s="2" t="n"/>
      <c r="H90" s="3" t="n"/>
      <c r="K90" s="2">
        <f>IF(F90="","",F90-J90)</f>
        <v/>
      </c>
      <c r="L90">
        <f>IF(F90="","",F90-TODAY())</f>
        <v/>
      </c>
      <c r="M90">
        <f>IF(F90="","",IF(L90&lt;0,"Expired",IF(L90&lt;=30,"⚠ Due in 30 Days",IF(L90&lt;=60,"Upcoming (60 Days)","Active"))))</f>
        <v/>
      </c>
      <c r="P90" s="3">
        <f>IF(G90="Monthly",H90*12,IF(G90="Quarterly",H90*4,IF(G90="Annual",H90,IF(G90="Multi-Year",H90/2,H90))))</f>
        <v/>
      </c>
    </row>
    <row r="91">
      <c r="E91" s="2" t="n"/>
      <c r="F91" s="2" t="n"/>
      <c r="H91" s="3" t="n"/>
      <c r="K91" s="2">
        <f>IF(F91="","",F91-J91)</f>
        <v/>
      </c>
      <c r="L91">
        <f>IF(F91="","",F91-TODAY())</f>
        <v/>
      </c>
      <c r="M91">
        <f>IF(F91="","",IF(L91&lt;0,"Expired",IF(L91&lt;=30,"⚠ Due in 30 Days",IF(L91&lt;=60,"Upcoming (60 Days)","Active"))))</f>
        <v/>
      </c>
      <c r="P91" s="3">
        <f>IF(G91="Monthly",H91*12,IF(G91="Quarterly",H91*4,IF(G91="Annual",H91,IF(G91="Multi-Year",H91/2,H91))))</f>
        <v/>
      </c>
    </row>
    <row r="92">
      <c r="E92" s="2" t="n"/>
      <c r="F92" s="2" t="n"/>
      <c r="H92" s="3" t="n"/>
      <c r="K92" s="2">
        <f>IF(F92="","",F92-J92)</f>
        <v/>
      </c>
      <c r="L92">
        <f>IF(F92="","",F92-TODAY())</f>
        <v/>
      </c>
      <c r="M92">
        <f>IF(F92="","",IF(L92&lt;0,"Expired",IF(L92&lt;=30,"⚠ Due in 30 Days",IF(L92&lt;=60,"Upcoming (60 Days)","Active"))))</f>
        <v/>
      </c>
      <c r="P92" s="3">
        <f>IF(G92="Monthly",H92*12,IF(G92="Quarterly",H92*4,IF(G92="Annual",H92,IF(G92="Multi-Year",H92/2,H92))))</f>
        <v/>
      </c>
    </row>
    <row r="93">
      <c r="E93" s="2" t="n"/>
      <c r="F93" s="2" t="n"/>
      <c r="H93" s="3" t="n"/>
      <c r="K93" s="2">
        <f>IF(F93="","",F93-J93)</f>
        <v/>
      </c>
      <c r="L93">
        <f>IF(F93="","",F93-TODAY())</f>
        <v/>
      </c>
      <c r="M93">
        <f>IF(F93="","",IF(L93&lt;0,"Expired",IF(L93&lt;=30,"⚠ Due in 30 Days",IF(L93&lt;=60,"Upcoming (60 Days)","Active"))))</f>
        <v/>
      </c>
      <c r="P93" s="3">
        <f>IF(G93="Monthly",H93*12,IF(G93="Quarterly",H93*4,IF(G93="Annual",H93,IF(G93="Multi-Year",H93/2,H93))))</f>
        <v/>
      </c>
    </row>
    <row r="94">
      <c r="E94" s="2" t="n"/>
      <c r="F94" s="2" t="n"/>
      <c r="H94" s="3" t="n"/>
      <c r="K94" s="2">
        <f>IF(F94="","",F94-J94)</f>
        <v/>
      </c>
      <c r="L94">
        <f>IF(F94="","",F94-TODAY())</f>
        <v/>
      </c>
      <c r="M94">
        <f>IF(F94="","",IF(L94&lt;0,"Expired",IF(L94&lt;=30,"⚠ Due in 30 Days",IF(L94&lt;=60,"Upcoming (60 Days)","Active"))))</f>
        <v/>
      </c>
      <c r="P94" s="3">
        <f>IF(G94="Monthly",H94*12,IF(G94="Quarterly",H94*4,IF(G94="Annual",H94,IF(G94="Multi-Year",H94/2,H94))))</f>
        <v/>
      </c>
    </row>
    <row r="95">
      <c r="E95" s="2" t="n"/>
      <c r="F95" s="2" t="n"/>
      <c r="H95" s="3" t="n"/>
      <c r="K95" s="2">
        <f>IF(F95="","",F95-J95)</f>
        <v/>
      </c>
      <c r="L95">
        <f>IF(F95="","",F95-TODAY())</f>
        <v/>
      </c>
      <c r="M95">
        <f>IF(F95="","",IF(L95&lt;0,"Expired",IF(L95&lt;=30,"⚠ Due in 30 Days",IF(L95&lt;=60,"Upcoming (60 Days)","Active"))))</f>
        <v/>
      </c>
      <c r="P95" s="3">
        <f>IF(G95="Monthly",H95*12,IF(G95="Quarterly",H95*4,IF(G95="Annual",H95,IF(G95="Multi-Year",H95/2,H95))))</f>
        <v/>
      </c>
    </row>
    <row r="96">
      <c r="E96" s="2" t="n"/>
      <c r="F96" s="2" t="n"/>
      <c r="H96" s="3" t="n"/>
      <c r="K96" s="2">
        <f>IF(F96="","",F96-J96)</f>
        <v/>
      </c>
      <c r="L96">
        <f>IF(F96="","",F96-TODAY())</f>
        <v/>
      </c>
      <c r="M96">
        <f>IF(F96="","",IF(L96&lt;0,"Expired",IF(L96&lt;=30,"⚠ Due in 30 Days",IF(L96&lt;=60,"Upcoming (60 Days)","Active"))))</f>
        <v/>
      </c>
      <c r="P96" s="3">
        <f>IF(G96="Monthly",H96*12,IF(G96="Quarterly",H96*4,IF(G96="Annual",H96,IF(G96="Multi-Year",H96/2,H96))))</f>
        <v/>
      </c>
    </row>
    <row r="97">
      <c r="E97" s="2" t="n"/>
      <c r="F97" s="2" t="n"/>
      <c r="H97" s="3" t="n"/>
      <c r="K97" s="2">
        <f>IF(F97="","",F97-J97)</f>
        <v/>
      </c>
      <c r="L97">
        <f>IF(F97="","",F97-TODAY())</f>
        <v/>
      </c>
      <c r="M97">
        <f>IF(F97="","",IF(L97&lt;0,"Expired",IF(L97&lt;=30,"⚠ Due in 30 Days",IF(L97&lt;=60,"Upcoming (60 Days)","Active"))))</f>
        <v/>
      </c>
      <c r="P97" s="3">
        <f>IF(G97="Monthly",H97*12,IF(G97="Quarterly",H97*4,IF(G97="Annual",H97,IF(G97="Multi-Year",H97/2,H97))))</f>
        <v/>
      </c>
    </row>
    <row r="98">
      <c r="E98" s="2" t="n"/>
      <c r="F98" s="2" t="n"/>
      <c r="H98" s="3" t="n"/>
      <c r="K98" s="2">
        <f>IF(F98="","",F98-J98)</f>
        <v/>
      </c>
      <c r="L98">
        <f>IF(F98="","",F98-TODAY())</f>
        <v/>
      </c>
      <c r="M98">
        <f>IF(F98="","",IF(L98&lt;0,"Expired",IF(L98&lt;=30,"⚠ Due in 30 Days",IF(L98&lt;=60,"Upcoming (60 Days)","Active"))))</f>
        <v/>
      </c>
      <c r="P98" s="3">
        <f>IF(G98="Monthly",H98*12,IF(G98="Quarterly",H98*4,IF(G98="Annual",H98,IF(G98="Multi-Year",H98/2,H98))))</f>
        <v/>
      </c>
    </row>
    <row r="99">
      <c r="E99" s="2" t="n"/>
      <c r="F99" s="2" t="n"/>
      <c r="H99" s="3" t="n"/>
      <c r="K99" s="2">
        <f>IF(F99="","",F99-J99)</f>
        <v/>
      </c>
      <c r="L99">
        <f>IF(F99="","",F99-TODAY())</f>
        <v/>
      </c>
      <c r="M99">
        <f>IF(F99="","",IF(L99&lt;0,"Expired",IF(L99&lt;=30,"⚠ Due in 30 Days",IF(L99&lt;=60,"Upcoming (60 Days)","Active"))))</f>
        <v/>
      </c>
      <c r="P99" s="3">
        <f>IF(G99="Monthly",H99*12,IF(G99="Quarterly",H99*4,IF(G99="Annual",H99,IF(G99="Multi-Year",H99/2,H99))))</f>
        <v/>
      </c>
    </row>
    <row r="100">
      <c r="E100" s="2" t="n"/>
      <c r="F100" s="2" t="n"/>
      <c r="H100" s="3" t="n"/>
      <c r="K100" s="2">
        <f>IF(F100="","",F100-J100)</f>
        <v/>
      </c>
      <c r="L100">
        <f>IF(F100="","",F100-TODAY())</f>
        <v/>
      </c>
      <c r="M100">
        <f>IF(F100="","",IF(L100&lt;0,"Expired",IF(L100&lt;=30,"⚠ Due in 30 Days",IF(L100&lt;=60,"Upcoming (60 Days)","Active"))))</f>
        <v/>
      </c>
      <c r="P100" s="3">
        <f>IF(G100="Monthly",H100*12,IF(G100="Quarterly",H100*4,IF(G100="Annual",H100,IF(G100="Multi-Year",H100/2,H100))))</f>
        <v/>
      </c>
    </row>
    <row r="101">
      <c r="E101" s="2" t="n"/>
      <c r="F101" s="2" t="n"/>
      <c r="H101" s="3" t="n"/>
      <c r="K101" s="2">
        <f>IF(F101="","",F101-J101)</f>
        <v/>
      </c>
      <c r="L101">
        <f>IF(F101="","",F101-TODAY())</f>
        <v/>
      </c>
      <c r="M101">
        <f>IF(F101="","",IF(L101&lt;0,"Expired",IF(L101&lt;=30,"⚠ Due in 30 Days",IF(L101&lt;=60,"Upcoming (60 Days)","Active"))))</f>
        <v/>
      </c>
      <c r="P101" s="3">
        <f>IF(G101="Monthly",H101*12,IF(G101="Quarterly",H101*4,IF(G101="Annual",H101,IF(G101="Multi-Year",H101/2,H101))))</f>
        <v/>
      </c>
    </row>
    <row r="102">
      <c r="E102" s="2" t="n"/>
      <c r="F102" s="2" t="n"/>
      <c r="H102" s="3" t="n"/>
      <c r="K102" s="2">
        <f>IF(F102="","",F102-J102)</f>
        <v/>
      </c>
      <c r="L102">
        <f>IF(F102="","",F102-TODAY())</f>
        <v/>
      </c>
      <c r="M102">
        <f>IF(F102="","",IF(L102&lt;0,"Expired",IF(L102&lt;=30,"⚠ Due in 30 Days",IF(L102&lt;=60,"Upcoming (60 Days)","Active"))))</f>
        <v/>
      </c>
      <c r="P102" s="3">
        <f>IF(G102="Monthly",H102*12,IF(G102="Quarterly",H102*4,IF(G102="Annual",H102,IF(G102="Multi-Year",H102/2,H102))))</f>
        <v/>
      </c>
    </row>
    <row r="103">
      <c r="E103" s="2" t="n"/>
      <c r="F103" s="2" t="n"/>
      <c r="H103" s="3" t="n"/>
      <c r="K103" s="2">
        <f>IF(F103="","",F103-J103)</f>
        <v/>
      </c>
      <c r="L103">
        <f>IF(F103="","",F103-TODAY())</f>
        <v/>
      </c>
      <c r="M103">
        <f>IF(F103="","",IF(L103&lt;0,"Expired",IF(L103&lt;=30,"⚠ Due in 30 Days",IF(L103&lt;=60,"Upcoming (60 Days)","Active"))))</f>
        <v/>
      </c>
      <c r="P103" s="3">
        <f>IF(G103="Monthly",H103*12,IF(G103="Quarterly",H103*4,IF(G103="Annual",H103,IF(G103="Multi-Year",H103/2,H103))))</f>
        <v/>
      </c>
    </row>
    <row r="104">
      <c r="E104" s="2" t="n"/>
      <c r="F104" s="2" t="n"/>
      <c r="H104" s="3" t="n"/>
      <c r="K104" s="2">
        <f>IF(F104="","",F104-J104)</f>
        <v/>
      </c>
      <c r="L104">
        <f>IF(F104="","",F104-TODAY())</f>
        <v/>
      </c>
      <c r="M104">
        <f>IF(F104="","",IF(L104&lt;0,"Expired",IF(L104&lt;=30,"⚠ Due in 30 Days",IF(L104&lt;=60,"Upcoming (60 Days)","Active"))))</f>
        <v/>
      </c>
      <c r="P104" s="3">
        <f>IF(G104="Monthly",H104*12,IF(G104="Quarterly",H104*4,IF(G104="Annual",H104,IF(G104="Multi-Year",H104/2,H104))))</f>
        <v/>
      </c>
    </row>
    <row r="105">
      <c r="E105" s="2" t="n"/>
      <c r="F105" s="2" t="n"/>
      <c r="H105" s="3" t="n"/>
      <c r="K105" s="2">
        <f>IF(F105="","",F105-J105)</f>
        <v/>
      </c>
      <c r="L105">
        <f>IF(F105="","",F105-TODAY())</f>
        <v/>
      </c>
      <c r="M105">
        <f>IF(F105="","",IF(L105&lt;0,"Expired",IF(L105&lt;=30,"⚠ Due in 30 Days",IF(L105&lt;=60,"Upcoming (60 Days)","Active"))))</f>
        <v/>
      </c>
      <c r="P105" s="3">
        <f>IF(G105="Monthly",H105*12,IF(G105="Quarterly",H105*4,IF(G105="Annual",H105,IF(G105="Multi-Year",H105/2,H105))))</f>
        <v/>
      </c>
    </row>
    <row r="106">
      <c r="E106" s="2" t="n"/>
      <c r="F106" s="2" t="n"/>
      <c r="H106" s="3" t="n"/>
      <c r="K106" s="2">
        <f>IF(F106="","",F106-J106)</f>
        <v/>
      </c>
      <c r="L106">
        <f>IF(F106="","",F106-TODAY())</f>
        <v/>
      </c>
      <c r="M106">
        <f>IF(F106="","",IF(L106&lt;0,"Expired",IF(L106&lt;=30,"⚠ Due in 30 Days",IF(L106&lt;=60,"Upcoming (60 Days)","Active"))))</f>
        <v/>
      </c>
      <c r="P106" s="3">
        <f>IF(G106="Monthly",H106*12,IF(G106="Quarterly",H106*4,IF(G106="Annual",H106,IF(G106="Multi-Year",H106/2,H106))))</f>
        <v/>
      </c>
    </row>
    <row r="107">
      <c r="E107" s="2" t="n"/>
      <c r="F107" s="2" t="n"/>
      <c r="H107" s="3" t="n"/>
      <c r="K107" s="2">
        <f>IF(F107="","",F107-J107)</f>
        <v/>
      </c>
      <c r="L107">
        <f>IF(F107="","",F107-TODAY())</f>
        <v/>
      </c>
      <c r="M107">
        <f>IF(F107="","",IF(L107&lt;0,"Expired",IF(L107&lt;=30,"⚠ Due in 30 Days",IF(L107&lt;=60,"Upcoming (60 Days)","Active"))))</f>
        <v/>
      </c>
      <c r="P107" s="3">
        <f>IF(G107="Monthly",H107*12,IF(G107="Quarterly",H107*4,IF(G107="Annual",H107,IF(G107="Multi-Year",H107/2,H107))))</f>
        <v/>
      </c>
    </row>
    <row r="108">
      <c r="E108" s="2" t="n"/>
      <c r="F108" s="2" t="n"/>
      <c r="H108" s="3" t="n"/>
      <c r="K108" s="2">
        <f>IF(F108="","",F108-J108)</f>
        <v/>
      </c>
      <c r="L108">
        <f>IF(F108="","",F108-TODAY())</f>
        <v/>
      </c>
      <c r="M108">
        <f>IF(F108="","",IF(L108&lt;0,"Expired",IF(L108&lt;=30,"⚠ Due in 30 Days",IF(L108&lt;=60,"Upcoming (60 Days)","Active"))))</f>
        <v/>
      </c>
      <c r="P108" s="3">
        <f>IF(G108="Monthly",H108*12,IF(G108="Quarterly",H108*4,IF(G108="Annual",H108,IF(G108="Multi-Year",H108/2,H108))))</f>
        <v/>
      </c>
    </row>
    <row r="109">
      <c r="E109" s="2" t="n"/>
      <c r="F109" s="2" t="n"/>
      <c r="H109" s="3" t="n"/>
      <c r="K109" s="2">
        <f>IF(F109="","",F109-J109)</f>
        <v/>
      </c>
      <c r="L109">
        <f>IF(F109="","",F109-TODAY())</f>
        <v/>
      </c>
      <c r="M109">
        <f>IF(F109="","",IF(L109&lt;0,"Expired",IF(L109&lt;=30,"⚠ Due in 30 Days",IF(L109&lt;=60,"Upcoming (60 Days)","Active"))))</f>
        <v/>
      </c>
      <c r="P109" s="3">
        <f>IF(G109="Monthly",H109*12,IF(G109="Quarterly",H109*4,IF(G109="Annual",H109,IF(G109="Multi-Year",H109/2,H109))))</f>
        <v/>
      </c>
    </row>
    <row r="110">
      <c r="E110" s="2" t="n"/>
      <c r="F110" s="2" t="n"/>
      <c r="H110" s="3" t="n"/>
      <c r="K110" s="2">
        <f>IF(F110="","",F110-J110)</f>
        <v/>
      </c>
      <c r="L110">
        <f>IF(F110="","",F110-TODAY())</f>
        <v/>
      </c>
      <c r="M110">
        <f>IF(F110="","",IF(L110&lt;0,"Expired",IF(L110&lt;=30,"⚠ Due in 30 Days",IF(L110&lt;=60,"Upcoming (60 Days)","Active"))))</f>
        <v/>
      </c>
      <c r="P110" s="3">
        <f>IF(G110="Monthly",H110*12,IF(G110="Quarterly",H110*4,IF(G110="Annual",H110,IF(G110="Multi-Year",H110/2,H110))))</f>
        <v/>
      </c>
    </row>
    <row r="111">
      <c r="E111" s="2" t="n"/>
      <c r="F111" s="2" t="n"/>
      <c r="H111" s="3" t="n"/>
      <c r="K111" s="2">
        <f>IF(F111="","",F111-J111)</f>
        <v/>
      </c>
      <c r="L111">
        <f>IF(F111="","",F111-TODAY())</f>
        <v/>
      </c>
      <c r="M111">
        <f>IF(F111="","",IF(L111&lt;0,"Expired",IF(L111&lt;=30,"⚠ Due in 30 Days",IF(L111&lt;=60,"Upcoming (60 Days)","Active"))))</f>
        <v/>
      </c>
      <c r="P111" s="3">
        <f>IF(G111="Monthly",H111*12,IF(G111="Quarterly",H111*4,IF(G111="Annual",H111,IF(G111="Multi-Year",H111/2,H111))))</f>
        <v/>
      </c>
    </row>
    <row r="112">
      <c r="E112" s="2" t="n"/>
      <c r="F112" s="2" t="n"/>
      <c r="H112" s="3" t="n"/>
      <c r="K112" s="2">
        <f>IF(F112="","",F112-J112)</f>
        <v/>
      </c>
      <c r="L112">
        <f>IF(F112="","",F112-TODAY())</f>
        <v/>
      </c>
      <c r="M112">
        <f>IF(F112="","",IF(L112&lt;0,"Expired",IF(L112&lt;=30,"⚠ Due in 30 Days",IF(L112&lt;=60,"Upcoming (60 Days)","Active"))))</f>
        <v/>
      </c>
      <c r="P112" s="3">
        <f>IF(G112="Monthly",H112*12,IF(G112="Quarterly",H112*4,IF(G112="Annual",H112,IF(G112="Multi-Year",H112/2,H112))))</f>
        <v/>
      </c>
    </row>
    <row r="113">
      <c r="E113" s="2" t="n"/>
      <c r="F113" s="2" t="n"/>
      <c r="H113" s="3" t="n"/>
      <c r="K113" s="2">
        <f>IF(F113="","",F113-J113)</f>
        <v/>
      </c>
      <c r="L113">
        <f>IF(F113="","",F113-TODAY())</f>
        <v/>
      </c>
      <c r="M113">
        <f>IF(F113="","",IF(L113&lt;0,"Expired",IF(L113&lt;=30,"⚠ Due in 30 Days",IF(L113&lt;=60,"Upcoming (60 Days)","Active"))))</f>
        <v/>
      </c>
      <c r="P113" s="3">
        <f>IF(G113="Monthly",H113*12,IF(G113="Quarterly",H113*4,IF(G113="Annual",H113,IF(G113="Multi-Year",H113/2,H113))))</f>
        <v/>
      </c>
    </row>
    <row r="114">
      <c r="E114" s="2" t="n"/>
      <c r="F114" s="2" t="n"/>
      <c r="H114" s="3" t="n"/>
      <c r="K114" s="2">
        <f>IF(F114="","",F114-J114)</f>
        <v/>
      </c>
      <c r="L114">
        <f>IF(F114="","",F114-TODAY())</f>
        <v/>
      </c>
      <c r="M114">
        <f>IF(F114="","",IF(L114&lt;0,"Expired",IF(L114&lt;=30,"⚠ Due in 30 Days",IF(L114&lt;=60,"Upcoming (60 Days)","Active"))))</f>
        <v/>
      </c>
      <c r="P114" s="3">
        <f>IF(G114="Monthly",H114*12,IF(G114="Quarterly",H114*4,IF(G114="Annual",H114,IF(G114="Multi-Year",H114/2,H114))))</f>
        <v/>
      </c>
    </row>
    <row r="115">
      <c r="E115" s="2" t="n"/>
      <c r="F115" s="2" t="n"/>
      <c r="H115" s="3" t="n"/>
      <c r="K115" s="2">
        <f>IF(F115="","",F115-J115)</f>
        <v/>
      </c>
      <c r="L115">
        <f>IF(F115="","",F115-TODAY())</f>
        <v/>
      </c>
      <c r="M115">
        <f>IF(F115="","",IF(L115&lt;0,"Expired",IF(L115&lt;=30,"⚠ Due in 30 Days",IF(L115&lt;=60,"Upcoming (60 Days)","Active"))))</f>
        <v/>
      </c>
      <c r="P115" s="3">
        <f>IF(G115="Monthly",H115*12,IF(G115="Quarterly",H115*4,IF(G115="Annual",H115,IF(G115="Multi-Year",H115/2,H115))))</f>
        <v/>
      </c>
    </row>
    <row r="116">
      <c r="E116" s="2" t="n"/>
      <c r="F116" s="2" t="n"/>
      <c r="H116" s="3" t="n"/>
      <c r="K116" s="2">
        <f>IF(F116="","",F116-J116)</f>
        <v/>
      </c>
      <c r="L116">
        <f>IF(F116="","",F116-TODAY())</f>
        <v/>
      </c>
      <c r="M116">
        <f>IF(F116="","",IF(L116&lt;0,"Expired",IF(L116&lt;=30,"⚠ Due in 30 Days",IF(L116&lt;=60,"Upcoming (60 Days)","Active"))))</f>
        <v/>
      </c>
      <c r="P116" s="3">
        <f>IF(G116="Monthly",H116*12,IF(G116="Quarterly",H116*4,IF(G116="Annual",H116,IF(G116="Multi-Year",H116/2,H116))))</f>
        <v/>
      </c>
    </row>
    <row r="117">
      <c r="E117" s="2" t="n"/>
      <c r="F117" s="2" t="n"/>
      <c r="H117" s="3" t="n"/>
      <c r="K117" s="2">
        <f>IF(F117="","",F117-J117)</f>
        <v/>
      </c>
      <c r="L117">
        <f>IF(F117="","",F117-TODAY())</f>
        <v/>
      </c>
      <c r="M117">
        <f>IF(F117="","",IF(L117&lt;0,"Expired",IF(L117&lt;=30,"⚠ Due in 30 Days",IF(L117&lt;=60,"Upcoming (60 Days)","Active"))))</f>
        <v/>
      </c>
      <c r="P117" s="3">
        <f>IF(G117="Monthly",H117*12,IF(G117="Quarterly",H117*4,IF(G117="Annual",H117,IF(G117="Multi-Year",H117/2,H117))))</f>
        <v/>
      </c>
    </row>
    <row r="118">
      <c r="E118" s="2" t="n"/>
      <c r="F118" s="2" t="n"/>
      <c r="H118" s="3" t="n"/>
      <c r="K118" s="2">
        <f>IF(F118="","",F118-J118)</f>
        <v/>
      </c>
      <c r="L118">
        <f>IF(F118="","",F118-TODAY())</f>
        <v/>
      </c>
      <c r="M118">
        <f>IF(F118="","",IF(L118&lt;0,"Expired",IF(L118&lt;=30,"⚠ Due in 30 Days",IF(L118&lt;=60,"Upcoming (60 Days)","Active"))))</f>
        <v/>
      </c>
      <c r="P118" s="3">
        <f>IF(G118="Monthly",H118*12,IF(G118="Quarterly",H118*4,IF(G118="Annual",H118,IF(G118="Multi-Year",H118/2,H118))))</f>
        <v/>
      </c>
    </row>
    <row r="119">
      <c r="E119" s="2" t="n"/>
      <c r="F119" s="2" t="n"/>
      <c r="H119" s="3" t="n"/>
      <c r="K119" s="2">
        <f>IF(F119="","",F119-J119)</f>
        <v/>
      </c>
      <c r="L119">
        <f>IF(F119="","",F119-TODAY())</f>
        <v/>
      </c>
      <c r="M119">
        <f>IF(F119="","",IF(L119&lt;0,"Expired",IF(L119&lt;=30,"⚠ Due in 30 Days",IF(L119&lt;=60,"Upcoming (60 Days)","Active"))))</f>
        <v/>
      </c>
      <c r="P119" s="3">
        <f>IF(G119="Monthly",H119*12,IF(G119="Quarterly",H119*4,IF(G119="Annual",H119,IF(G119="Multi-Year",H119/2,H119))))</f>
        <v/>
      </c>
    </row>
    <row r="120">
      <c r="E120" s="2" t="n"/>
      <c r="F120" s="2" t="n"/>
      <c r="H120" s="3" t="n"/>
      <c r="K120" s="2">
        <f>IF(F120="","",F120-J120)</f>
        <v/>
      </c>
      <c r="L120">
        <f>IF(F120="","",F120-TODAY())</f>
        <v/>
      </c>
      <c r="M120">
        <f>IF(F120="","",IF(L120&lt;0,"Expired",IF(L120&lt;=30,"⚠ Due in 30 Days",IF(L120&lt;=60,"Upcoming (60 Days)","Active"))))</f>
        <v/>
      </c>
      <c r="P120" s="3">
        <f>IF(G120="Monthly",H120*12,IF(G120="Quarterly",H120*4,IF(G120="Annual",H120,IF(G120="Multi-Year",H120/2,H120))))</f>
        <v/>
      </c>
    </row>
    <row r="121">
      <c r="E121" s="2" t="n"/>
      <c r="F121" s="2" t="n"/>
      <c r="H121" s="3" t="n"/>
      <c r="K121" s="2">
        <f>IF(F121="","",F121-J121)</f>
        <v/>
      </c>
      <c r="L121">
        <f>IF(F121="","",F121-TODAY())</f>
        <v/>
      </c>
      <c r="M121">
        <f>IF(F121="","",IF(L121&lt;0,"Expired",IF(L121&lt;=30,"⚠ Due in 30 Days",IF(L121&lt;=60,"Upcoming (60 Days)","Active"))))</f>
        <v/>
      </c>
      <c r="P121" s="3">
        <f>IF(G121="Monthly",H121*12,IF(G121="Quarterly",H121*4,IF(G121="Annual",H121,IF(G121="Multi-Year",H121/2,H121))))</f>
        <v/>
      </c>
    </row>
    <row r="122">
      <c r="E122" s="2" t="n"/>
      <c r="F122" s="2" t="n"/>
      <c r="H122" s="3" t="n"/>
      <c r="K122" s="2">
        <f>IF(F122="","",F122-J122)</f>
        <v/>
      </c>
      <c r="L122">
        <f>IF(F122="","",F122-TODAY())</f>
        <v/>
      </c>
      <c r="M122">
        <f>IF(F122="","",IF(L122&lt;0,"Expired",IF(L122&lt;=30,"⚠ Due in 30 Days",IF(L122&lt;=60,"Upcoming (60 Days)","Active"))))</f>
        <v/>
      </c>
      <c r="P122" s="3">
        <f>IF(G122="Monthly",H122*12,IF(G122="Quarterly",H122*4,IF(G122="Annual",H122,IF(G122="Multi-Year",H122/2,H122))))</f>
        <v/>
      </c>
    </row>
    <row r="123">
      <c r="E123" s="2" t="n"/>
      <c r="F123" s="2" t="n"/>
      <c r="H123" s="3" t="n"/>
      <c r="K123" s="2">
        <f>IF(F123="","",F123-J123)</f>
        <v/>
      </c>
      <c r="L123">
        <f>IF(F123="","",F123-TODAY())</f>
        <v/>
      </c>
      <c r="M123">
        <f>IF(F123="","",IF(L123&lt;0,"Expired",IF(L123&lt;=30,"⚠ Due in 30 Days",IF(L123&lt;=60,"Upcoming (60 Days)","Active"))))</f>
        <v/>
      </c>
      <c r="P123" s="3">
        <f>IF(G123="Monthly",H123*12,IF(G123="Quarterly",H123*4,IF(G123="Annual",H123,IF(G123="Multi-Year",H123/2,H123))))</f>
        <v/>
      </c>
    </row>
    <row r="124">
      <c r="E124" s="2" t="n"/>
      <c r="F124" s="2" t="n"/>
      <c r="H124" s="3" t="n"/>
      <c r="K124" s="2">
        <f>IF(F124="","",F124-J124)</f>
        <v/>
      </c>
      <c r="L124">
        <f>IF(F124="","",F124-TODAY())</f>
        <v/>
      </c>
      <c r="M124">
        <f>IF(F124="","",IF(L124&lt;0,"Expired",IF(L124&lt;=30,"⚠ Due in 30 Days",IF(L124&lt;=60,"Upcoming (60 Days)","Active"))))</f>
        <v/>
      </c>
      <c r="P124" s="3">
        <f>IF(G124="Monthly",H124*12,IF(G124="Quarterly",H124*4,IF(G124="Annual",H124,IF(G124="Multi-Year",H124/2,H124))))</f>
        <v/>
      </c>
    </row>
    <row r="125">
      <c r="E125" s="2" t="n"/>
      <c r="F125" s="2" t="n"/>
      <c r="H125" s="3" t="n"/>
      <c r="K125" s="2">
        <f>IF(F125="","",F125-J125)</f>
        <v/>
      </c>
      <c r="L125">
        <f>IF(F125="","",F125-TODAY())</f>
        <v/>
      </c>
      <c r="M125">
        <f>IF(F125="","",IF(L125&lt;0,"Expired",IF(L125&lt;=30,"⚠ Due in 30 Days",IF(L125&lt;=60,"Upcoming (60 Days)","Active"))))</f>
        <v/>
      </c>
      <c r="P125" s="3">
        <f>IF(G125="Monthly",H125*12,IF(G125="Quarterly",H125*4,IF(G125="Annual",H125,IF(G125="Multi-Year",H125/2,H125))))</f>
        <v/>
      </c>
    </row>
    <row r="126">
      <c r="E126" s="2" t="n"/>
      <c r="F126" s="2" t="n"/>
      <c r="H126" s="3" t="n"/>
      <c r="K126" s="2">
        <f>IF(F126="","",F126-J126)</f>
        <v/>
      </c>
      <c r="L126">
        <f>IF(F126="","",F126-TODAY())</f>
        <v/>
      </c>
      <c r="M126">
        <f>IF(F126="","",IF(L126&lt;0,"Expired",IF(L126&lt;=30,"⚠ Due in 30 Days",IF(L126&lt;=60,"Upcoming (60 Days)","Active"))))</f>
        <v/>
      </c>
      <c r="P126" s="3">
        <f>IF(G126="Monthly",H126*12,IF(G126="Quarterly",H126*4,IF(G126="Annual",H126,IF(G126="Multi-Year",H126/2,H126))))</f>
        <v/>
      </c>
    </row>
    <row r="127">
      <c r="E127" s="2" t="n"/>
      <c r="F127" s="2" t="n"/>
      <c r="H127" s="3" t="n"/>
      <c r="K127" s="2">
        <f>IF(F127="","",F127-J127)</f>
        <v/>
      </c>
      <c r="L127">
        <f>IF(F127="","",F127-TODAY())</f>
        <v/>
      </c>
      <c r="M127">
        <f>IF(F127="","",IF(L127&lt;0,"Expired",IF(L127&lt;=30,"⚠ Due in 30 Days",IF(L127&lt;=60,"Upcoming (60 Days)","Active"))))</f>
        <v/>
      </c>
      <c r="P127" s="3">
        <f>IF(G127="Monthly",H127*12,IF(G127="Quarterly",H127*4,IF(G127="Annual",H127,IF(G127="Multi-Year",H127/2,H127))))</f>
        <v/>
      </c>
    </row>
    <row r="128">
      <c r="E128" s="2" t="n"/>
      <c r="F128" s="2" t="n"/>
      <c r="H128" s="3" t="n"/>
      <c r="K128" s="2">
        <f>IF(F128="","",F128-J128)</f>
        <v/>
      </c>
      <c r="L128">
        <f>IF(F128="","",F128-TODAY())</f>
        <v/>
      </c>
      <c r="M128">
        <f>IF(F128="","",IF(L128&lt;0,"Expired",IF(L128&lt;=30,"⚠ Due in 30 Days",IF(L128&lt;=60,"Upcoming (60 Days)","Active"))))</f>
        <v/>
      </c>
      <c r="P128" s="3">
        <f>IF(G128="Monthly",H128*12,IF(G128="Quarterly",H128*4,IF(G128="Annual",H128,IF(G128="Multi-Year",H128/2,H128))))</f>
        <v/>
      </c>
    </row>
    <row r="129">
      <c r="E129" s="2" t="n"/>
      <c r="F129" s="2" t="n"/>
      <c r="H129" s="3" t="n"/>
      <c r="K129" s="2">
        <f>IF(F129="","",F129-J129)</f>
        <v/>
      </c>
      <c r="L129">
        <f>IF(F129="","",F129-TODAY())</f>
        <v/>
      </c>
      <c r="M129">
        <f>IF(F129="","",IF(L129&lt;0,"Expired",IF(L129&lt;=30,"⚠ Due in 30 Days",IF(L129&lt;=60,"Upcoming (60 Days)","Active"))))</f>
        <v/>
      </c>
      <c r="P129" s="3">
        <f>IF(G129="Monthly",H129*12,IF(G129="Quarterly",H129*4,IF(G129="Annual",H129,IF(G129="Multi-Year",H129/2,H129))))</f>
        <v/>
      </c>
    </row>
    <row r="130">
      <c r="E130" s="2" t="n"/>
      <c r="F130" s="2" t="n"/>
      <c r="H130" s="3" t="n"/>
      <c r="K130" s="2">
        <f>IF(F130="","",F130-J130)</f>
        <v/>
      </c>
      <c r="L130">
        <f>IF(F130="","",F130-TODAY())</f>
        <v/>
      </c>
      <c r="M130">
        <f>IF(F130="","",IF(L130&lt;0,"Expired",IF(L130&lt;=30,"⚠ Due in 30 Days",IF(L130&lt;=60,"Upcoming (60 Days)","Active"))))</f>
        <v/>
      </c>
      <c r="P130" s="3">
        <f>IF(G130="Monthly",H130*12,IF(G130="Quarterly",H130*4,IF(G130="Annual",H130,IF(G130="Multi-Year",H130/2,H130))))</f>
        <v/>
      </c>
    </row>
    <row r="131">
      <c r="E131" s="2" t="n"/>
      <c r="F131" s="2" t="n"/>
      <c r="H131" s="3" t="n"/>
      <c r="K131" s="2">
        <f>IF(F131="","",F131-J131)</f>
        <v/>
      </c>
      <c r="L131">
        <f>IF(F131="","",F131-TODAY())</f>
        <v/>
      </c>
      <c r="M131">
        <f>IF(F131="","",IF(L131&lt;0,"Expired",IF(L131&lt;=30,"⚠ Due in 30 Days",IF(L131&lt;=60,"Upcoming (60 Days)","Active"))))</f>
        <v/>
      </c>
      <c r="P131" s="3">
        <f>IF(G131="Monthly",H131*12,IF(G131="Quarterly",H131*4,IF(G131="Annual",H131,IF(G131="Multi-Year",H131/2,H131))))</f>
        <v/>
      </c>
    </row>
    <row r="132">
      <c r="E132" s="2" t="n"/>
      <c r="F132" s="2" t="n"/>
      <c r="H132" s="3" t="n"/>
      <c r="K132" s="2">
        <f>IF(F132="","",F132-J132)</f>
        <v/>
      </c>
      <c r="L132">
        <f>IF(F132="","",F132-TODAY())</f>
        <v/>
      </c>
      <c r="M132">
        <f>IF(F132="","",IF(L132&lt;0,"Expired",IF(L132&lt;=30,"⚠ Due in 30 Days",IF(L132&lt;=60,"Upcoming (60 Days)","Active"))))</f>
        <v/>
      </c>
      <c r="P132" s="3">
        <f>IF(G132="Monthly",H132*12,IF(G132="Quarterly",H132*4,IF(G132="Annual",H132,IF(G132="Multi-Year",H132/2,H132))))</f>
        <v/>
      </c>
    </row>
    <row r="133">
      <c r="E133" s="2" t="n"/>
      <c r="F133" s="2" t="n"/>
      <c r="H133" s="3" t="n"/>
      <c r="K133" s="2">
        <f>IF(F133="","",F133-J133)</f>
        <v/>
      </c>
      <c r="L133">
        <f>IF(F133="","",F133-TODAY())</f>
        <v/>
      </c>
      <c r="M133">
        <f>IF(F133="","",IF(L133&lt;0,"Expired",IF(L133&lt;=30,"⚠ Due in 30 Days",IF(L133&lt;=60,"Upcoming (60 Days)","Active"))))</f>
        <v/>
      </c>
      <c r="P133" s="3">
        <f>IF(G133="Monthly",H133*12,IF(G133="Quarterly",H133*4,IF(G133="Annual",H133,IF(G133="Multi-Year",H133/2,H133))))</f>
        <v/>
      </c>
    </row>
    <row r="134">
      <c r="E134" s="2" t="n"/>
      <c r="F134" s="2" t="n"/>
      <c r="H134" s="3" t="n"/>
      <c r="K134" s="2">
        <f>IF(F134="","",F134-J134)</f>
        <v/>
      </c>
      <c r="L134">
        <f>IF(F134="","",F134-TODAY())</f>
        <v/>
      </c>
      <c r="M134">
        <f>IF(F134="","",IF(L134&lt;0,"Expired",IF(L134&lt;=30,"⚠ Due in 30 Days",IF(L134&lt;=60,"Upcoming (60 Days)","Active"))))</f>
        <v/>
      </c>
      <c r="P134" s="3">
        <f>IF(G134="Monthly",H134*12,IF(G134="Quarterly",H134*4,IF(G134="Annual",H134,IF(G134="Multi-Year",H134/2,H134))))</f>
        <v/>
      </c>
    </row>
    <row r="135">
      <c r="E135" s="2" t="n"/>
      <c r="F135" s="2" t="n"/>
      <c r="H135" s="3" t="n"/>
      <c r="K135" s="2">
        <f>IF(F135="","",F135-J135)</f>
        <v/>
      </c>
      <c r="L135">
        <f>IF(F135="","",F135-TODAY())</f>
        <v/>
      </c>
      <c r="M135">
        <f>IF(F135="","",IF(L135&lt;0,"Expired",IF(L135&lt;=30,"⚠ Due in 30 Days",IF(L135&lt;=60,"Upcoming (60 Days)","Active"))))</f>
        <v/>
      </c>
      <c r="P135" s="3">
        <f>IF(G135="Monthly",H135*12,IF(G135="Quarterly",H135*4,IF(G135="Annual",H135,IF(G135="Multi-Year",H135/2,H135))))</f>
        <v/>
      </c>
    </row>
    <row r="136">
      <c r="E136" s="2" t="n"/>
      <c r="F136" s="2" t="n"/>
      <c r="H136" s="3" t="n"/>
      <c r="K136" s="2">
        <f>IF(F136="","",F136-J136)</f>
        <v/>
      </c>
      <c r="L136">
        <f>IF(F136="","",F136-TODAY())</f>
        <v/>
      </c>
      <c r="M136">
        <f>IF(F136="","",IF(L136&lt;0,"Expired",IF(L136&lt;=30,"⚠ Due in 30 Days",IF(L136&lt;=60,"Upcoming (60 Days)","Active"))))</f>
        <v/>
      </c>
      <c r="P136" s="3">
        <f>IF(G136="Monthly",H136*12,IF(G136="Quarterly",H136*4,IF(G136="Annual",H136,IF(G136="Multi-Year",H136/2,H136))))</f>
        <v/>
      </c>
    </row>
    <row r="137">
      <c r="E137" s="2" t="n"/>
      <c r="F137" s="2" t="n"/>
      <c r="H137" s="3" t="n"/>
      <c r="K137" s="2">
        <f>IF(F137="","",F137-J137)</f>
        <v/>
      </c>
      <c r="L137">
        <f>IF(F137="","",F137-TODAY())</f>
        <v/>
      </c>
      <c r="M137">
        <f>IF(F137="","",IF(L137&lt;0,"Expired",IF(L137&lt;=30,"⚠ Due in 30 Days",IF(L137&lt;=60,"Upcoming (60 Days)","Active"))))</f>
        <v/>
      </c>
      <c r="P137" s="3">
        <f>IF(G137="Monthly",H137*12,IF(G137="Quarterly",H137*4,IF(G137="Annual",H137,IF(G137="Multi-Year",H137/2,H137))))</f>
        <v/>
      </c>
    </row>
    <row r="138">
      <c r="E138" s="2" t="n"/>
      <c r="F138" s="2" t="n"/>
      <c r="H138" s="3" t="n"/>
      <c r="K138" s="2">
        <f>IF(F138="","",F138-J138)</f>
        <v/>
      </c>
      <c r="L138">
        <f>IF(F138="","",F138-TODAY())</f>
        <v/>
      </c>
      <c r="M138">
        <f>IF(F138="","",IF(L138&lt;0,"Expired",IF(L138&lt;=30,"⚠ Due in 30 Days",IF(L138&lt;=60,"Upcoming (60 Days)","Active"))))</f>
        <v/>
      </c>
      <c r="P138" s="3">
        <f>IF(G138="Monthly",H138*12,IF(G138="Quarterly",H138*4,IF(G138="Annual",H138,IF(G138="Multi-Year",H138/2,H138))))</f>
        <v/>
      </c>
    </row>
    <row r="139">
      <c r="E139" s="2" t="n"/>
      <c r="F139" s="2" t="n"/>
      <c r="H139" s="3" t="n"/>
      <c r="K139" s="2">
        <f>IF(F139="","",F139-J139)</f>
        <v/>
      </c>
      <c r="L139">
        <f>IF(F139="","",F139-TODAY())</f>
        <v/>
      </c>
      <c r="M139">
        <f>IF(F139="","",IF(L139&lt;0,"Expired",IF(L139&lt;=30,"⚠ Due in 30 Days",IF(L139&lt;=60,"Upcoming (60 Days)","Active"))))</f>
        <v/>
      </c>
      <c r="P139" s="3">
        <f>IF(G139="Monthly",H139*12,IF(G139="Quarterly",H139*4,IF(G139="Annual",H139,IF(G139="Multi-Year",H139/2,H139))))</f>
        <v/>
      </c>
    </row>
    <row r="140">
      <c r="E140" s="2" t="n"/>
      <c r="F140" s="2" t="n"/>
      <c r="H140" s="3" t="n"/>
      <c r="K140" s="2">
        <f>IF(F140="","",F140-J140)</f>
        <v/>
      </c>
      <c r="L140">
        <f>IF(F140="","",F140-TODAY())</f>
        <v/>
      </c>
      <c r="M140">
        <f>IF(F140="","",IF(L140&lt;0,"Expired",IF(L140&lt;=30,"⚠ Due in 30 Days",IF(L140&lt;=60,"Upcoming (60 Days)","Active"))))</f>
        <v/>
      </c>
      <c r="P140" s="3">
        <f>IF(G140="Monthly",H140*12,IF(G140="Quarterly",H140*4,IF(G140="Annual",H140,IF(G140="Multi-Year",H140/2,H140))))</f>
        <v/>
      </c>
    </row>
    <row r="141">
      <c r="E141" s="2" t="n"/>
      <c r="F141" s="2" t="n"/>
      <c r="H141" s="3" t="n"/>
      <c r="K141" s="2">
        <f>IF(F141="","",F141-J141)</f>
        <v/>
      </c>
      <c r="L141">
        <f>IF(F141="","",F141-TODAY())</f>
        <v/>
      </c>
      <c r="M141">
        <f>IF(F141="","",IF(L141&lt;0,"Expired",IF(L141&lt;=30,"⚠ Due in 30 Days",IF(L141&lt;=60,"Upcoming (60 Days)","Active"))))</f>
        <v/>
      </c>
      <c r="P141" s="3">
        <f>IF(G141="Monthly",H141*12,IF(G141="Quarterly",H141*4,IF(G141="Annual",H141,IF(G141="Multi-Year",H141/2,H141))))</f>
        <v/>
      </c>
    </row>
    <row r="142">
      <c r="E142" s="2" t="n"/>
      <c r="F142" s="2" t="n"/>
      <c r="H142" s="3" t="n"/>
      <c r="K142" s="2">
        <f>IF(F142="","",F142-J142)</f>
        <v/>
      </c>
      <c r="L142">
        <f>IF(F142="","",F142-TODAY())</f>
        <v/>
      </c>
      <c r="M142">
        <f>IF(F142="","",IF(L142&lt;0,"Expired",IF(L142&lt;=30,"⚠ Due in 30 Days",IF(L142&lt;=60,"Upcoming (60 Days)","Active"))))</f>
        <v/>
      </c>
      <c r="P142" s="3">
        <f>IF(G142="Monthly",H142*12,IF(G142="Quarterly",H142*4,IF(G142="Annual",H142,IF(G142="Multi-Year",H142/2,H142))))</f>
        <v/>
      </c>
    </row>
    <row r="143">
      <c r="E143" s="2" t="n"/>
      <c r="F143" s="2" t="n"/>
      <c r="H143" s="3" t="n"/>
      <c r="K143" s="2">
        <f>IF(F143="","",F143-J143)</f>
        <v/>
      </c>
      <c r="L143">
        <f>IF(F143="","",F143-TODAY())</f>
        <v/>
      </c>
      <c r="M143">
        <f>IF(F143="","",IF(L143&lt;0,"Expired",IF(L143&lt;=30,"⚠ Due in 30 Days",IF(L143&lt;=60,"Upcoming (60 Days)","Active"))))</f>
        <v/>
      </c>
      <c r="P143" s="3">
        <f>IF(G143="Monthly",H143*12,IF(G143="Quarterly",H143*4,IF(G143="Annual",H143,IF(G143="Multi-Year",H143/2,H143))))</f>
        <v/>
      </c>
    </row>
    <row r="144">
      <c r="E144" s="2" t="n"/>
      <c r="F144" s="2" t="n"/>
      <c r="H144" s="3" t="n"/>
      <c r="K144" s="2">
        <f>IF(F144="","",F144-J144)</f>
        <v/>
      </c>
      <c r="L144">
        <f>IF(F144="","",F144-TODAY())</f>
        <v/>
      </c>
      <c r="M144">
        <f>IF(F144="","",IF(L144&lt;0,"Expired",IF(L144&lt;=30,"⚠ Due in 30 Days",IF(L144&lt;=60,"Upcoming (60 Days)","Active"))))</f>
        <v/>
      </c>
      <c r="P144" s="3">
        <f>IF(G144="Monthly",H144*12,IF(G144="Quarterly",H144*4,IF(G144="Annual",H144,IF(G144="Multi-Year",H144/2,H144))))</f>
        <v/>
      </c>
    </row>
    <row r="145">
      <c r="E145" s="2" t="n"/>
      <c r="F145" s="2" t="n"/>
      <c r="H145" s="3" t="n"/>
      <c r="K145" s="2">
        <f>IF(F145="","",F145-J145)</f>
        <v/>
      </c>
      <c r="L145">
        <f>IF(F145="","",F145-TODAY())</f>
        <v/>
      </c>
      <c r="M145">
        <f>IF(F145="","",IF(L145&lt;0,"Expired",IF(L145&lt;=30,"⚠ Due in 30 Days",IF(L145&lt;=60,"Upcoming (60 Days)","Active"))))</f>
        <v/>
      </c>
      <c r="P145" s="3">
        <f>IF(G145="Monthly",H145*12,IF(G145="Quarterly",H145*4,IF(G145="Annual",H145,IF(G145="Multi-Year",H145/2,H145))))</f>
        <v/>
      </c>
    </row>
    <row r="146">
      <c r="E146" s="2" t="n"/>
      <c r="F146" s="2" t="n"/>
      <c r="H146" s="3" t="n"/>
      <c r="K146" s="2">
        <f>IF(F146="","",F146-J146)</f>
        <v/>
      </c>
      <c r="L146">
        <f>IF(F146="","",F146-TODAY())</f>
        <v/>
      </c>
      <c r="M146">
        <f>IF(F146="","",IF(L146&lt;0,"Expired",IF(L146&lt;=30,"⚠ Due in 30 Days",IF(L146&lt;=60,"Upcoming (60 Days)","Active"))))</f>
        <v/>
      </c>
      <c r="P146" s="3">
        <f>IF(G146="Monthly",H146*12,IF(G146="Quarterly",H146*4,IF(G146="Annual",H146,IF(G146="Multi-Year",H146/2,H146))))</f>
        <v/>
      </c>
    </row>
    <row r="147">
      <c r="E147" s="2" t="n"/>
      <c r="F147" s="2" t="n"/>
      <c r="H147" s="3" t="n"/>
      <c r="K147" s="2">
        <f>IF(F147="","",F147-J147)</f>
        <v/>
      </c>
      <c r="L147">
        <f>IF(F147="","",F147-TODAY())</f>
        <v/>
      </c>
      <c r="M147">
        <f>IF(F147="","",IF(L147&lt;0,"Expired",IF(L147&lt;=30,"⚠ Due in 30 Days",IF(L147&lt;=60,"Upcoming (60 Days)","Active"))))</f>
        <v/>
      </c>
      <c r="P147" s="3">
        <f>IF(G147="Monthly",H147*12,IF(G147="Quarterly",H147*4,IF(G147="Annual",H147,IF(G147="Multi-Year",H147/2,H147))))</f>
        <v/>
      </c>
    </row>
    <row r="148">
      <c r="E148" s="2" t="n"/>
      <c r="F148" s="2" t="n"/>
      <c r="H148" s="3" t="n"/>
      <c r="K148" s="2">
        <f>IF(F148="","",F148-J148)</f>
        <v/>
      </c>
      <c r="L148">
        <f>IF(F148="","",F148-TODAY())</f>
        <v/>
      </c>
      <c r="M148">
        <f>IF(F148="","",IF(L148&lt;0,"Expired",IF(L148&lt;=30,"⚠ Due in 30 Days",IF(L148&lt;=60,"Upcoming (60 Days)","Active"))))</f>
        <v/>
      </c>
      <c r="P148" s="3">
        <f>IF(G148="Monthly",H148*12,IF(G148="Quarterly",H148*4,IF(G148="Annual",H148,IF(G148="Multi-Year",H148/2,H148))))</f>
        <v/>
      </c>
    </row>
    <row r="149">
      <c r="E149" s="2" t="n"/>
      <c r="F149" s="2" t="n"/>
      <c r="H149" s="3" t="n"/>
      <c r="K149" s="2">
        <f>IF(F149="","",F149-J149)</f>
        <v/>
      </c>
      <c r="L149">
        <f>IF(F149="","",F149-TODAY())</f>
        <v/>
      </c>
      <c r="M149">
        <f>IF(F149="","",IF(L149&lt;0,"Expired",IF(L149&lt;=30,"⚠ Due in 30 Days",IF(L149&lt;=60,"Upcoming (60 Days)","Active"))))</f>
        <v/>
      </c>
      <c r="P149" s="3">
        <f>IF(G149="Monthly",H149*12,IF(G149="Quarterly",H149*4,IF(G149="Annual",H149,IF(G149="Multi-Year",H149/2,H149))))</f>
        <v/>
      </c>
    </row>
    <row r="150">
      <c r="E150" s="2" t="n"/>
      <c r="F150" s="2" t="n"/>
      <c r="H150" s="3" t="n"/>
      <c r="K150" s="2">
        <f>IF(F150="","",F150-J150)</f>
        <v/>
      </c>
      <c r="L150">
        <f>IF(F150="","",F150-TODAY())</f>
        <v/>
      </c>
      <c r="M150">
        <f>IF(F150="","",IF(L150&lt;0,"Expired",IF(L150&lt;=30,"⚠ Due in 30 Days",IF(L150&lt;=60,"Upcoming (60 Days)","Active"))))</f>
        <v/>
      </c>
      <c r="P150" s="3">
        <f>IF(G150="Monthly",H150*12,IF(G150="Quarterly",H150*4,IF(G150="Annual",H150,IF(G150="Multi-Year",H150/2,H150))))</f>
        <v/>
      </c>
    </row>
    <row r="151">
      <c r="E151" s="2" t="n"/>
      <c r="F151" s="2" t="n"/>
      <c r="H151" s="3" t="n"/>
      <c r="K151" s="2">
        <f>IF(F151="","",F151-J151)</f>
        <v/>
      </c>
      <c r="L151">
        <f>IF(F151="","",F151-TODAY())</f>
        <v/>
      </c>
      <c r="M151">
        <f>IF(F151="","",IF(L151&lt;0,"Expired",IF(L151&lt;=30,"⚠ Due in 30 Days",IF(L151&lt;=60,"Upcoming (60 Days)","Active"))))</f>
        <v/>
      </c>
      <c r="P151" s="3">
        <f>IF(G151="Monthly",H151*12,IF(G151="Quarterly",H151*4,IF(G151="Annual",H151,IF(G151="Multi-Year",H151/2,H151))))</f>
        <v/>
      </c>
    </row>
    <row r="152">
      <c r="E152" s="2" t="n"/>
      <c r="F152" s="2" t="n"/>
      <c r="H152" s="3" t="n"/>
      <c r="K152" s="2">
        <f>IF(F152="","",F152-J152)</f>
        <v/>
      </c>
      <c r="L152">
        <f>IF(F152="","",F152-TODAY())</f>
        <v/>
      </c>
      <c r="M152">
        <f>IF(F152="","",IF(L152&lt;0,"Expired",IF(L152&lt;=30,"⚠ Due in 30 Days",IF(L152&lt;=60,"Upcoming (60 Days)","Active"))))</f>
        <v/>
      </c>
      <c r="P152" s="3">
        <f>IF(G152="Monthly",H152*12,IF(G152="Quarterly",H152*4,IF(G152="Annual",H152,IF(G152="Multi-Year",H152/2,H152))))</f>
        <v/>
      </c>
    </row>
    <row r="153">
      <c r="E153" s="2" t="n"/>
      <c r="F153" s="2" t="n"/>
      <c r="H153" s="3" t="n"/>
      <c r="K153" s="2">
        <f>IF(F153="","",F153-J153)</f>
        <v/>
      </c>
      <c r="L153">
        <f>IF(F153="","",F153-TODAY())</f>
        <v/>
      </c>
      <c r="M153">
        <f>IF(F153="","",IF(L153&lt;0,"Expired",IF(L153&lt;=30,"⚠ Due in 30 Days",IF(L153&lt;=60,"Upcoming (60 Days)","Active"))))</f>
        <v/>
      </c>
      <c r="P153" s="3">
        <f>IF(G153="Monthly",H153*12,IF(G153="Quarterly",H153*4,IF(G153="Annual",H153,IF(G153="Multi-Year",H153/2,H153))))</f>
        <v/>
      </c>
    </row>
    <row r="154">
      <c r="E154" s="2" t="n"/>
      <c r="F154" s="2" t="n"/>
      <c r="H154" s="3" t="n"/>
      <c r="K154" s="2">
        <f>IF(F154="","",F154-J154)</f>
        <v/>
      </c>
      <c r="L154">
        <f>IF(F154="","",F154-TODAY())</f>
        <v/>
      </c>
      <c r="M154">
        <f>IF(F154="","",IF(L154&lt;0,"Expired",IF(L154&lt;=30,"⚠ Due in 30 Days",IF(L154&lt;=60,"Upcoming (60 Days)","Active"))))</f>
        <v/>
      </c>
      <c r="P154" s="3">
        <f>IF(G154="Monthly",H154*12,IF(G154="Quarterly",H154*4,IF(G154="Annual",H154,IF(G154="Multi-Year",H154/2,H154))))</f>
        <v/>
      </c>
    </row>
    <row r="155">
      <c r="E155" s="2" t="n"/>
      <c r="F155" s="2" t="n"/>
      <c r="H155" s="3" t="n"/>
      <c r="K155" s="2">
        <f>IF(F155="","",F155-J155)</f>
        <v/>
      </c>
      <c r="L155">
        <f>IF(F155="","",F155-TODAY())</f>
        <v/>
      </c>
      <c r="M155">
        <f>IF(F155="","",IF(L155&lt;0,"Expired",IF(L155&lt;=30,"⚠ Due in 30 Days",IF(L155&lt;=60,"Upcoming (60 Days)","Active"))))</f>
        <v/>
      </c>
      <c r="P155" s="3">
        <f>IF(G155="Monthly",H155*12,IF(G155="Quarterly",H155*4,IF(G155="Annual",H155,IF(G155="Multi-Year",H155/2,H155))))</f>
        <v/>
      </c>
    </row>
    <row r="156">
      <c r="E156" s="2" t="n"/>
      <c r="F156" s="2" t="n"/>
      <c r="H156" s="3" t="n"/>
      <c r="K156" s="2">
        <f>IF(F156="","",F156-J156)</f>
        <v/>
      </c>
      <c r="L156">
        <f>IF(F156="","",F156-TODAY())</f>
        <v/>
      </c>
      <c r="M156">
        <f>IF(F156="","",IF(L156&lt;0,"Expired",IF(L156&lt;=30,"⚠ Due in 30 Days",IF(L156&lt;=60,"Upcoming (60 Days)","Active"))))</f>
        <v/>
      </c>
      <c r="P156" s="3">
        <f>IF(G156="Monthly",H156*12,IF(G156="Quarterly",H156*4,IF(G156="Annual",H156,IF(G156="Multi-Year",H156/2,H156))))</f>
        <v/>
      </c>
    </row>
    <row r="157">
      <c r="E157" s="2" t="n"/>
      <c r="F157" s="2" t="n"/>
      <c r="H157" s="3" t="n"/>
      <c r="K157" s="2">
        <f>IF(F157="","",F157-J157)</f>
        <v/>
      </c>
      <c r="L157">
        <f>IF(F157="","",F157-TODAY())</f>
        <v/>
      </c>
      <c r="M157">
        <f>IF(F157="","",IF(L157&lt;0,"Expired",IF(L157&lt;=30,"⚠ Due in 30 Days",IF(L157&lt;=60,"Upcoming (60 Days)","Active"))))</f>
        <v/>
      </c>
      <c r="P157" s="3">
        <f>IF(G157="Monthly",H157*12,IF(G157="Quarterly",H157*4,IF(G157="Annual",H157,IF(G157="Multi-Year",H157/2,H157))))</f>
        <v/>
      </c>
    </row>
    <row r="158">
      <c r="E158" s="2" t="n"/>
      <c r="F158" s="2" t="n"/>
      <c r="H158" s="3" t="n"/>
      <c r="K158" s="2">
        <f>IF(F158="","",F158-J158)</f>
        <v/>
      </c>
      <c r="L158">
        <f>IF(F158="","",F158-TODAY())</f>
        <v/>
      </c>
      <c r="M158">
        <f>IF(F158="","",IF(L158&lt;0,"Expired",IF(L158&lt;=30,"⚠ Due in 30 Days",IF(L158&lt;=60,"Upcoming (60 Days)","Active"))))</f>
        <v/>
      </c>
      <c r="P158" s="3">
        <f>IF(G158="Monthly",H158*12,IF(G158="Quarterly",H158*4,IF(G158="Annual",H158,IF(G158="Multi-Year",H158/2,H158))))</f>
        <v/>
      </c>
    </row>
    <row r="159">
      <c r="E159" s="2" t="n"/>
      <c r="F159" s="2" t="n"/>
      <c r="H159" s="3" t="n"/>
      <c r="K159" s="2">
        <f>IF(F159="","",F159-J159)</f>
        <v/>
      </c>
      <c r="L159">
        <f>IF(F159="","",F159-TODAY())</f>
        <v/>
      </c>
      <c r="M159">
        <f>IF(F159="","",IF(L159&lt;0,"Expired",IF(L159&lt;=30,"⚠ Due in 30 Days",IF(L159&lt;=60,"Upcoming (60 Days)","Active"))))</f>
        <v/>
      </c>
      <c r="P159" s="3">
        <f>IF(G159="Monthly",H159*12,IF(G159="Quarterly",H159*4,IF(G159="Annual",H159,IF(G159="Multi-Year",H159/2,H159))))</f>
        <v/>
      </c>
    </row>
    <row r="160">
      <c r="E160" s="2" t="n"/>
      <c r="F160" s="2" t="n"/>
      <c r="H160" s="3" t="n"/>
      <c r="K160" s="2">
        <f>IF(F160="","",F160-J160)</f>
        <v/>
      </c>
      <c r="L160">
        <f>IF(F160="","",F160-TODAY())</f>
        <v/>
      </c>
      <c r="M160">
        <f>IF(F160="","",IF(L160&lt;0,"Expired",IF(L160&lt;=30,"⚠ Due in 30 Days",IF(L160&lt;=60,"Upcoming (60 Days)","Active"))))</f>
        <v/>
      </c>
      <c r="P160" s="3">
        <f>IF(G160="Monthly",H160*12,IF(G160="Quarterly",H160*4,IF(G160="Annual",H160,IF(G160="Multi-Year",H160/2,H160))))</f>
        <v/>
      </c>
    </row>
    <row r="161">
      <c r="E161" s="2" t="n"/>
      <c r="F161" s="2" t="n"/>
      <c r="H161" s="3" t="n"/>
      <c r="K161" s="2">
        <f>IF(F161="","",F161-J161)</f>
        <v/>
      </c>
      <c r="L161">
        <f>IF(F161="","",F161-TODAY())</f>
        <v/>
      </c>
      <c r="M161">
        <f>IF(F161="","",IF(L161&lt;0,"Expired",IF(L161&lt;=30,"⚠ Due in 30 Days",IF(L161&lt;=60,"Upcoming (60 Days)","Active"))))</f>
        <v/>
      </c>
      <c r="P161" s="3">
        <f>IF(G161="Monthly",H161*12,IF(G161="Quarterly",H161*4,IF(G161="Annual",H161,IF(G161="Multi-Year",H161/2,H161))))</f>
        <v/>
      </c>
    </row>
    <row r="162">
      <c r="E162" s="2" t="n"/>
      <c r="F162" s="2" t="n"/>
      <c r="H162" s="3" t="n"/>
      <c r="K162" s="2">
        <f>IF(F162="","",F162-J162)</f>
        <v/>
      </c>
      <c r="L162">
        <f>IF(F162="","",F162-TODAY())</f>
        <v/>
      </c>
      <c r="M162">
        <f>IF(F162="","",IF(L162&lt;0,"Expired",IF(L162&lt;=30,"⚠ Due in 30 Days",IF(L162&lt;=60,"Upcoming (60 Days)","Active"))))</f>
        <v/>
      </c>
      <c r="P162" s="3">
        <f>IF(G162="Monthly",H162*12,IF(G162="Quarterly",H162*4,IF(G162="Annual",H162,IF(G162="Multi-Year",H162/2,H162))))</f>
        <v/>
      </c>
    </row>
    <row r="163">
      <c r="E163" s="2" t="n"/>
      <c r="F163" s="2" t="n"/>
      <c r="H163" s="3" t="n"/>
      <c r="K163" s="2">
        <f>IF(F163="","",F163-J163)</f>
        <v/>
      </c>
      <c r="L163">
        <f>IF(F163="","",F163-TODAY())</f>
        <v/>
      </c>
      <c r="M163">
        <f>IF(F163="","",IF(L163&lt;0,"Expired",IF(L163&lt;=30,"⚠ Due in 30 Days",IF(L163&lt;=60,"Upcoming (60 Days)","Active"))))</f>
        <v/>
      </c>
      <c r="P163" s="3">
        <f>IF(G163="Monthly",H163*12,IF(G163="Quarterly",H163*4,IF(G163="Annual",H163,IF(G163="Multi-Year",H163/2,H163))))</f>
        <v/>
      </c>
    </row>
    <row r="164">
      <c r="E164" s="2" t="n"/>
      <c r="F164" s="2" t="n"/>
      <c r="H164" s="3" t="n"/>
      <c r="K164" s="2">
        <f>IF(F164="","",F164-J164)</f>
        <v/>
      </c>
      <c r="L164">
        <f>IF(F164="","",F164-TODAY())</f>
        <v/>
      </c>
      <c r="M164">
        <f>IF(F164="","",IF(L164&lt;0,"Expired",IF(L164&lt;=30,"⚠ Due in 30 Days",IF(L164&lt;=60,"Upcoming (60 Days)","Active"))))</f>
        <v/>
      </c>
      <c r="P164" s="3">
        <f>IF(G164="Monthly",H164*12,IF(G164="Quarterly",H164*4,IF(G164="Annual",H164,IF(G164="Multi-Year",H164/2,H164))))</f>
        <v/>
      </c>
    </row>
    <row r="165">
      <c r="E165" s="2" t="n"/>
      <c r="F165" s="2" t="n"/>
      <c r="H165" s="3" t="n"/>
      <c r="K165" s="2">
        <f>IF(F165="","",F165-J165)</f>
        <v/>
      </c>
      <c r="L165">
        <f>IF(F165="","",F165-TODAY())</f>
        <v/>
      </c>
      <c r="M165">
        <f>IF(F165="","",IF(L165&lt;0,"Expired",IF(L165&lt;=30,"⚠ Due in 30 Days",IF(L165&lt;=60,"Upcoming (60 Days)","Active"))))</f>
        <v/>
      </c>
      <c r="P165" s="3">
        <f>IF(G165="Monthly",H165*12,IF(G165="Quarterly",H165*4,IF(G165="Annual",H165,IF(G165="Multi-Year",H165/2,H165))))</f>
        <v/>
      </c>
    </row>
    <row r="166">
      <c r="E166" s="2" t="n"/>
      <c r="F166" s="2" t="n"/>
      <c r="H166" s="3" t="n"/>
      <c r="K166" s="2">
        <f>IF(F166="","",F166-J166)</f>
        <v/>
      </c>
      <c r="L166">
        <f>IF(F166="","",F166-TODAY())</f>
        <v/>
      </c>
      <c r="M166">
        <f>IF(F166="","",IF(L166&lt;0,"Expired",IF(L166&lt;=30,"⚠ Due in 30 Days",IF(L166&lt;=60,"Upcoming (60 Days)","Active"))))</f>
        <v/>
      </c>
      <c r="P166" s="3">
        <f>IF(G166="Monthly",H166*12,IF(G166="Quarterly",H166*4,IF(G166="Annual",H166,IF(G166="Multi-Year",H166/2,H166))))</f>
        <v/>
      </c>
    </row>
    <row r="167">
      <c r="E167" s="2" t="n"/>
      <c r="F167" s="2" t="n"/>
      <c r="H167" s="3" t="n"/>
      <c r="K167" s="2">
        <f>IF(F167="","",F167-J167)</f>
        <v/>
      </c>
      <c r="L167">
        <f>IF(F167="","",F167-TODAY())</f>
        <v/>
      </c>
      <c r="M167">
        <f>IF(F167="","",IF(L167&lt;0,"Expired",IF(L167&lt;=30,"⚠ Due in 30 Days",IF(L167&lt;=60,"Upcoming (60 Days)","Active"))))</f>
        <v/>
      </c>
      <c r="P167" s="3">
        <f>IF(G167="Monthly",H167*12,IF(G167="Quarterly",H167*4,IF(G167="Annual",H167,IF(G167="Multi-Year",H167/2,H167))))</f>
        <v/>
      </c>
    </row>
    <row r="168">
      <c r="E168" s="2" t="n"/>
      <c r="F168" s="2" t="n"/>
      <c r="H168" s="3" t="n"/>
      <c r="K168" s="2">
        <f>IF(F168="","",F168-J168)</f>
        <v/>
      </c>
      <c r="L168">
        <f>IF(F168="","",F168-TODAY())</f>
        <v/>
      </c>
      <c r="M168">
        <f>IF(F168="","",IF(L168&lt;0,"Expired",IF(L168&lt;=30,"⚠ Due in 30 Days",IF(L168&lt;=60,"Upcoming (60 Days)","Active"))))</f>
        <v/>
      </c>
      <c r="P168" s="3">
        <f>IF(G168="Monthly",H168*12,IF(G168="Quarterly",H168*4,IF(G168="Annual",H168,IF(G168="Multi-Year",H168/2,H168))))</f>
        <v/>
      </c>
    </row>
    <row r="169">
      <c r="E169" s="2" t="n"/>
      <c r="F169" s="2" t="n"/>
      <c r="H169" s="3" t="n"/>
      <c r="K169" s="2">
        <f>IF(F169="","",F169-J169)</f>
        <v/>
      </c>
      <c r="L169">
        <f>IF(F169="","",F169-TODAY())</f>
        <v/>
      </c>
      <c r="M169">
        <f>IF(F169="","",IF(L169&lt;0,"Expired",IF(L169&lt;=30,"⚠ Due in 30 Days",IF(L169&lt;=60,"Upcoming (60 Days)","Active"))))</f>
        <v/>
      </c>
      <c r="P169" s="3">
        <f>IF(G169="Monthly",H169*12,IF(G169="Quarterly",H169*4,IF(G169="Annual",H169,IF(G169="Multi-Year",H169/2,H169))))</f>
        <v/>
      </c>
    </row>
    <row r="170">
      <c r="E170" s="2" t="n"/>
      <c r="F170" s="2" t="n"/>
      <c r="H170" s="3" t="n"/>
      <c r="K170" s="2">
        <f>IF(F170="","",F170-J170)</f>
        <v/>
      </c>
      <c r="L170">
        <f>IF(F170="","",F170-TODAY())</f>
        <v/>
      </c>
      <c r="M170">
        <f>IF(F170="","",IF(L170&lt;0,"Expired",IF(L170&lt;=30,"⚠ Due in 30 Days",IF(L170&lt;=60,"Upcoming (60 Days)","Active"))))</f>
        <v/>
      </c>
      <c r="P170" s="3">
        <f>IF(G170="Monthly",H170*12,IF(G170="Quarterly",H170*4,IF(G170="Annual",H170,IF(G170="Multi-Year",H170/2,H170))))</f>
        <v/>
      </c>
    </row>
    <row r="171">
      <c r="E171" s="2" t="n"/>
      <c r="F171" s="2" t="n"/>
      <c r="H171" s="3" t="n"/>
      <c r="K171" s="2">
        <f>IF(F171="","",F171-J171)</f>
        <v/>
      </c>
      <c r="L171">
        <f>IF(F171="","",F171-TODAY())</f>
        <v/>
      </c>
      <c r="M171">
        <f>IF(F171="","",IF(L171&lt;0,"Expired",IF(L171&lt;=30,"⚠ Due in 30 Days",IF(L171&lt;=60,"Upcoming (60 Days)","Active"))))</f>
        <v/>
      </c>
      <c r="P171" s="3">
        <f>IF(G171="Monthly",H171*12,IF(G171="Quarterly",H171*4,IF(G171="Annual",H171,IF(G171="Multi-Year",H171/2,H171))))</f>
        <v/>
      </c>
    </row>
    <row r="172">
      <c r="E172" s="2" t="n"/>
      <c r="F172" s="2" t="n"/>
      <c r="H172" s="3" t="n"/>
      <c r="K172" s="2">
        <f>IF(F172="","",F172-J172)</f>
        <v/>
      </c>
      <c r="L172">
        <f>IF(F172="","",F172-TODAY())</f>
        <v/>
      </c>
      <c r="M172">
        <f>IF(F172="","",IF(L172&lt;0,"Expired",IF(L172&lt;=30,"⚠ Due in 30 Days",IF(L172&lt;=60,"Upcoming (60 Days)","Active"))))</f>
        <v/>
      </c>
      <c r="P172" s="3">
        <f>IF(G172="Monthly",H172*12,IF(G172="Quarterly",H172*4,IF(G172="Annual",H172,IF(G172="Multi-Year",H172/2,H172))))</f>
        <v/>
      </c>
    </row>
    <row r="173">
      <c r="E173" s="2" t="n"/>
      <c r="F173" s="2" t="n"/>
      <c r="H173" s="3" t="n"/>
      <c r="K173" s="2">
        <f>IF(F173="","",F173-J173)</f>
        <v/>
      </c>
      <c r="L173">
        <f>IF(F173="","",F173-TODAY())</f>
        <v/>
      </c>
      <c r="M173">
        <f>IF(F173="","",IF(L173&lt;0,"Expired",IF(L173&lt;=30,"⚠ Due in 30 Days",IF(L173&lt;=60,"Upcoming (60 Days)","Active"))))</f>
        <v/>
      </c>
      <c r="P173" s="3">
        <f>IF(G173="Monthly",H173*12,IF(G173="Quarterly",H173*4,IF(G173="Annual",H173,IF(G173="Multi-Year",H173/2,H173))))</f>
        <v/>
      </c>
    </row>
    <row r="174">
      <c r="E174" s="2" t="n"/>
      <c r="F174" s="2" t="n"/>
      <c r="H174" s="3" t="n"/>
      <c r="K174" s="2">
        <f>IF(F174="","",F174-J174)</f>
        <v/>
      </c>
      <c r="L174">
        <f>IF(F174="","",F174-TODAY())</f>
        <v/>
      </c>
      <c r="M174">
        <f>IF(F174="","",IF(L174&lt;0,"Expired",IF(L174&lt;=30,"⚠ Due in 30 Days",IF(L174&lt;=60,"Upcoming (60 Days)","Active"))))</f>
        <v/>
      </c>
      <c r="P174" s="3">
        <f>IF(G174="Monthly",H174*12,IF(G174="Quarterly",H174*4,IF(G174="Annual",H174,IF(G174="Multi-Year",H174/2,H174))))</f>
        <v/>
      </c>
    </row>
    <row r="175">
      <c r="E175" s="2" t="n"/>
      <c r="F175" s="2" t="n"/>
      <c r="H175" s="3" t="n"/>
      <c r="K175" s="2">
        <f>IF(F175="","",F175-J175)</f>
        <v/>
      </c>
      <c r="L175">
        <f>IF(F175="","",F175-TODAY())</f>
        <v/>
      </c>
      <c r="M175">
        <f>IF(F175="","",IF(L175&lt;0,"Expired",IF(L175&lt;=30,"⚠ Due in 30 Days",IF(L175&lt;=60,"Upcoming (60 Days)","Active"))))</f>
        <v/>
      </c>
      <c r="P175" s="3">
        <f>IF(G175="Monthly",H175*12,IF(G175="Quarterly",H175*4,IF(G175="Annual",H175,IF(G175="Multi-Year",H175/2,H175))))</f>
        <v/>
      </c>
    </row>
    <row r="176">
      <c r="E176" s="2" t="n"/>
      <c r="F176" s="2" t="n"/>
      <c r="H176" s="3" t="n"/>
      <c r="K176" s="2">
        <f>IF(F176="","",F176-J176)</f>
        <v/>
      </c>
      <c r="L176">
        <f>IF(F176="","",F176-TODAY())</f>
        <v/>
      </c>
      <c r="M176">
        <f>IF(F176="","",IF(L176&lt;0,"Expired",IF(L176&lt;=30,"⚠ Due in 30 Days",IF(L176&lt;=60,"Upcoming (60 Days)","Active"))))</f>
        <v/>
      </c>
      <c r="P176" s="3">
        <f>IF(G176="Monthly",H176*12,IF(G176="Quarterly",H176*4,IF(G176="Annual",H176,IF(G176="Multi-Year",H176/2,H176))))</f>
        <v/>
      </c>
    </row>
    <row r="177">
      <c r="E177" s="2" t="n"/>
      <c r="F177" s="2" t="n"/>
      <c r="H177" s="3" t="n"/>
      <c r="K177" s="2">
        <f>IF(F177="","",F177-J177)</f>
        <v/>
      </c>
      <c r="L177">
        <f>IF(F177="","",F177-TODAY())</f>
        <v/>
      </c>
      <c r="M177">
        <f>IF(F177="","",IF(L177&lt;0,"Expired",IF(L177&lt;=30,"⚠ Due in 30 Days",IF(L177&lt;=60,"Upcoming (60 Days)","Active"))))</f>
        <v/>
      </c>
      <c r="P177" s="3">
        <f>IF(G177="Monthly",H177*12,IF(G177="Quarterly",H177*4,IF(G177="Annual",H177,IF(G177="Multi-Year",H177/2,H177))))</f>
        <v/>
      </c>
    </row>
    <row r="178">
      <c r="E178" s="2" t="n"/>
      <c r="F178" s="2" t="n"/>
      <c r="H178" s="3" t="n"/>
      <c r="K178" s="2">
        <f>IF(F178="","",F178-J178)</f>
        <v/>
      </c>
      <c r="L178">
        <f>IF(F178="","",F178-TODAY())</f>
        <v/>
      </c>
      <c r="M178">
        <f>IF(F178="","",IF(L178&lt;0,"Expired",IF(L178&lt;=30,"⚠ Due in 30 Days",IF(L178&lt;=60,"Upcoming (60 Days)","Active"))))</f>
        <v/>
      </c>
      <c r="P178" s="3">
        <f>IF(G178="Monthly",H178*12,IF(G178="Quarterly",H178*4,IF(G178="Annual",H178,IF(G178="Multi-Year",H178/2,H178))))</f>
        <v/>
      </c>
    </row>
    <row r="179">
      <c r="E179" s="2" t="n"/>
      <c r="F179" s="2" t="n"/>
      <c r="H179" s="3" t="n"/>
      <c r="K179" s="2">
        <f>IF(F179="","",F179-J179)</f>
        <v/>
      </c>
      <c r="L179">
        <f>IF(F179="","",F179-TODAY())</f>
        <v/>
      </c>
      <c r="M179">
        <f>IF(F179="","",IF(L179&lt;0,"Expired",IF(L179&lt;=30,"⚠ Due in 30 Days",IF(L179&lt;=60,"Upcoming (60 Days)","Active"))))</f>
        <v/>
      </c>
      <c r="P179" s="3">
        <f>IF(G179="Monthly",H179*12,IF(G179="Quarterly",H179*4,IF(G179="Annual",H179,IF(G179="Multi-Year",H179/2,H179))))</f>
        <v/>
      </c>
    </row>
    <row r="180">
      <c r="E180" s="2" t="n"/>
      <c r="F180" s="2" t="n"/>
      <c r="H180" s="3" t="n"/>
      <c r="K180" s="2">
        <f>IF(F180="","",F180-J180)</f>
        <v/>
      </c>
      <c r="L180">
        <f>IF(F180="","",F180-TODAY())</f>
        <v/>
      </c>
      <c r="M180">
        <f>IF(F180="","",IF(L180&lt;0,"Expired",IF(L180&lt;=30,"⚠ Due in 30 Days",IF(L180&lt;=60,"Upcoming (60 Days)","Active"))))</f>
        <v/>
      </c>
      <c r="P180" s="3">
        <f>IF(G180="Monthly",H180*12,IF(G180="Quarterly",H180*4,IF(G180="Annual",H180,IF(G180="Multi-Year",H180/2,H180))))</f>
        <v/>
      </c>
    </row>
    <row r="181">
      <c r="E181" s="2" t="n"/>
      <c r="F181" s="2" t="n"/>
      <c r="H181" s="3" t="n"/>
      <c r="K181" s="2">
        <f>IF(F181="","",F181-J181)</f>
        <v/>
      </c>
      <c r="L181">
        <f>IF(F181="","",F181-TODAY())</f>
        <v/>
      </c>
      <c r="M181">
        <f>IF(F181="","",IF(L181&lt;0,"Expired",IF(L181&lt;=30,"⚠ Due in 30 Days",IF(L181&lt;=60,"Upcoming (60 Days)","Active"))))</f>
        <v/>
      </c>
      <c r="P181" s="3">
        <f>IF(G181="Monthly",H181*12,IF(G181="Quarterly",H181*4,IF(G181="Annual",H181,IF(G181="Multi-Year",H181/2,H181))))</f>
        <v/>
      </c>
    </row>
    <row r="182">
      <c r="E182" s="2" t="n"/>
      <c r="F182" s="2" t="n"/>
      <c r="H182" s="3" t="n"/>
      <c r="K182" s="2">
        <f>IF(F182="","",F182-J182)</f>
        <v/>
      </c>
      <c r="L182">
        <f>IF(F182="","",F182-TODAY())</f>
        <v/>
      </c>
      <c r="M182">
        <f>IF(F182="","",IF(L182&lt;0,"Expired",IF(L182&lt;=30,"⚠ Due in 30 Days",IF(L182&lt;=60,"Upcoming (60 Days)","Active"))))</f>
        <v/>
      </c>
      <c r="P182" s="3">
        <f>IF(G182="Monthly",H182*12,IF(G182="Quarterly",H182*4,IF(G182="Annual",H182,IF(G182="Multi-Year",H182/2,H182))))</f>
        <v/>
      </c>
    </row>
    <row r="183">
      <c r="E183" s="2" t="n"/>
      <c r="F183" s="2" t="n"/>
      <c r="H183" s="3" t="n"/>
      <c r="K183" s="2">
        <f>IF(F183="","",F183-J183)</f>
        <v/>
      </c>
      <c r="L183">
        <f>IF(F183="","",F183-TODAY())</f>
        <v/>
      </c>
      <c r="M183">
        <f>IF(F183="","",IF(L183&lt;0,"Expired",IF(L183&lt;=30,"⚠ Due in 30 Days",IF(L183&lt;=60,"Upcoming (60 Days)","Active"))))</f>
        <v/>
      </c>
      <c r="P183" s="3">
        <f>IF(G183="Monthly",H183*12,IF(G183="Quarterly",H183*4,IF(G183="Annual",H183,IF(G183="Multi-Year",H183/2,H183))))</f>
        <v/>
      </c>
    </row>
    <row r="184">
      <c r="E184" s="2" t="n"/>
      <c r="F184" s="2" t="n"/>
      <c r="H184" s="3" t="n"/>
      <c r="K184" s="2">
        <f>IF(F184="","",F184-J184)</f>
        <v/>
      </c>
      <c r="L184">
        <f>IF(F184="","",F184-TODAY())</f>
        <v/>
      </c>
      <c r="M184">
        <f>IF(F184="","",IF(L184&lt;0,"Expired",IF(L184&lt;=30,"⚠ Due in 30 Days",IF(L184&lt;=60,"Upcoming (60 Days)","Active"))))</f>
        <v/>
      </c>
      <c r="P184" s="3">
        <f>IF(G184="Monthly",H184*12,IF(G184="Quarterly",H184*4,IF(G184="Annual",H184,IF(G184="Multi-Year",H184/2,H184))))</f>
        <v/>
      </c>
    </row>
    <row r="185">
      <c r="E185" s="2" t="n"/>
      <c r="F185" s="2" t="n"/>
      <c r="H185" s="3" t="n"/>
      <c r="K185" s="2">
        <f>IF(F185="","",F185-J185)</f>
        <v/>
      </c>
      <c r="L185">
        <f>IF(F185="","",F185-TODAY())</f>
        <v/>
      </c>
      <c r="M185">
        <f>IF(F185="","",IF(L185&lt;0,"Expired",IF(L185&lt;=30,"⚠ Due in 30 Days",IF(L185&lt;=60,"Upcoming (60 Days)","Active"))))</f>
        <v/>
      </c>
      <c r="P185" s="3">
        <f>IF(G185="Monthly",H185*12,IF(G185="Quarterly",H185*4,IF(G185="Annual",H185,IF(G185="Multi-Year",H185/2,H185))))</f>
        <v/>
      </c>
    </row>
    <row r="186">
      <c r="E186" s="2" t="n"/>
      <c r="F186" s="2" t="n"/>
      <c r="H186" s="3" t="n"/>
      <c r="K186" s="2">
        <f>IF(F186="","",F186-J186)</f>
        <v/>
      </c>
      <c r="L186">
        <f>IF(F186="","",F186-TODAY())</f>
        <v/>
      </c>
      <c r="M186">
        <f>IF(F186="","",IF(L186&lt;0,"Expired",IF(L186&lt;=30,"⚠ Due in 30 Days",IF(L186&lt;=60,"Upcoming (60 Days)","Active"))))</f>
        <v/>
      </c>
      <c r="P186" s="3">
        <f>IF(G186="Monthly",H186*12,IF(G186="Quarterly",H186*4,IF(G186="Annual",H186,IF(G186="Multi-Year",H186/2,H186))))</f>
        <v/>
      </c>
    </row>
    <row r="187">
      <c r="E187" s="2" t="n"/>
      <c r="F187" s="2" t="n"/>
      <c r="H187" s="3" t="n"/>
      <c r="K187" s="2">
        <f>IF(F187="","",F187-J187)</f>
        <v/>
      </c>
      <c r="L187">
        <f>IF(F187="","",F187-TODAY())</f>
        <v/>
      </c>
      <c r="M187">
        <f>IF(F187="","",IF(L187&lt;0,"Expired",IF(L187&lt;=30,"⚠ Due in 30 Days",IF(L187&lt;=60,"Upcoming (60 Days)","Active"))))</f>
        <v/>
      </c>
      <c r="P187" s="3">
        <f>IF(G187="Monthly",H187*12,IF(G187="Quarterly",H187*4,IF(G187="Annual",H187,IF(G187="Multi-Year",H187/2,H187))))</f>
        <v/>
      </c>
    </row>
    <row r="188">
      <c r="E188" s="2" t="n"/>
      <c r="F188" s="2" t="n"/>
      <c r="H188" s="3" t="n"/>
      <c r="K188" s="2">
        <f>IF(F188="","",F188-J188)</f>
        <v/>
      </c>
      <c r="L188">
        <f>IF(F188="","",F188-TODAY())</f>
        <v/>
      </c>
      <c r="M188">
        <f>IF(F188="","",IF(L188&lt;0,"Expired",IF(L188&lt;=30,"⚠ Due in 30 Days",IF(L188&lt;=60,"Upcoming (60 Days)","Active"))))</f>
        <v/>
      </c>
      <c r="P188" s="3">
        <f>IF(G188="Monthly",H188*12,IF(G188="Quarterly",H188*4,IF(G188="Annual",H188,IF(G188="Multi-Year",H188/2,H188))))</f>
        <v/>
      </c>
    </row>
    <row r="189">
      <c r="E189" s="2" t="n"/>
      <c r="F189" s="2" t="n"/>
      <c r="H189" s="3" t="n"/>
      <c r="K189" s="2">
        <f>IF(F189="","",F189-J189)</f>
        <v/>
      </c>
      <c r="L189">
        <f>IF(F189="","",F189-TODAY())</f>
        <v/>
      </c>
      <c r="M189">
        <f>IF(F189="","",IF(L189&lt;0,"Expired",IF(L189&lt;=30,"⚠ Due in 30 Days",IF(L189&lt;=60,"Upcoming (60 Days)","Active"))))</f>
        <v/>
      </c>
      <c r="P189" s="3">
        <f>IF(G189="Monthly",H189*12,IF(G189="Quarterly",H189*4,IF(G189="Annual",H189,IF(G189="Multi-Year",H189/2,H189))))</f>
        <v/>
      </c>
    </row>
    <row r="190">
      <c r="E190" s="2" t="n"/>
      <c r="F190" s="2" t="n"/>
      <c r="H190" s="3" t="n"/>
      <c r="K190" s="2">
        <f>IF(F190="","",F190-J190)</f>
        <v/>
      </c>
      <c r="L190">
        <f>IF(F190="","",F190-TODAY())</f>
        <v/>
      </c>
      <c r="M190">
        <f>IF(F190="","",IF(L190&lt;0,"Expired",IF(L190&lt;=30,"⚠ Due in 30 Days",IF(L190&lt;=60,"Upcoming (60 Days)","Active"))))</f>
        <v/>
      </c>
      <c r="P190" s="3">
        <f>IF(G190="Monthly",H190*12,IF(G190="Quarterly",H190*4,IF(G190="Annual",H190,IF(G190="Multi-Year",H190/2,H190))))</f>
        <v/>
      </c>
    </row>
    <row r="191">
      <c r="E191" s="2" t="n"/>
      <c r="F191" s="2" t="n"/>
      <c r="H191" s="3" t="n"/>
      <c r="K191" s="2">
        <f>IF(F191="","",F191-J191)</f>
        <v/>
      </c>
      <c r="L191">
        <f>IF(F191="","",F191-TODAY())</f>
        <v/>
      </c>
      <c r="M191">
        <f>IF(F191="","",IF(L191&lt;0,"Expired",IF(L191&lt;=30,"⚠ Due in 30 Days",IF(L191&lt;=60,"Upcoming (60 Days)","Active"))))</f>
        <v/>
      </c>
      <c r="P191" s="3">
        <f>IF(G191="Monthly",H191*12,IF(G191="Quarterly",H191*4,IF(G191="Annual",H191,IF(G191="Multi-Year",H191/2,H191))))</f>
        <v/>
      </c>
    </row>
    <row r="192">
      <c r="E192" s="2" t="n"/>
      <c r="F192" s="2" t="n"/>
      <c r="H192" s="3" t="n"/>
      <c r="K192" s="2">
        <f>IF(F192="","",F192-J192)</f>
        <v/>
      </c>
      <c r="L192">
        <f>IF(F192="","",F192-TODAY())</f>
        <v/>
      </c>
      <c r="M192">
        <f>IF(F192="","",IF(L192&lt;0,"Expired",IF(L192&lt;=30,"⚠ Due in 30 Days",IF(L192&lt;=60,"Upcoming (60 Days)","Active"))))</f>
        <v/>
      </c>
      <c r="P192" s="3">
        <f>IF(G192="Monthly",H192*12,IF(G192="Quarterly",H192*4,IF(G192="Annual",H192,IF(G192="Multi-Year",H192/2,H192))))</f>
        <v/>
      </c>
    </row>
    <row r="193">
      <c r="E193" s="2" t="n"/>
      <c r="F193" s="2" t="n"/>
      <c r="H193" s="3" t="n"/>
      <c r="K193" s="2">
        <f>IF(F193="","",F193-J193)</f>
        <v/>
      </c>
      <c r="L193">
        <f>IF(F193="","",F193-TODAY())</f>
        <v/>
      </c>
      <c r="M193">
        <f>IF(F193="","",IF(L193&lt;0,"Expired",IF(L193&lt;=30,"⚠ Due in 30 Days",IF(L193&lt;=60,"Upcoming (60 Days)","Active"))))</f>
        <v/>
      </c>
      <c r="P193" s="3">
        <f>IF(G193="Monthly",H193*12,IF(G193="Quarterly",H193*4,IF(G193="Annual",H193,IF(G193="Multi-Year",H193/2,H193))))</f>
        <v/>
      </c>
    </row>
    <row r="194">
      <c r="E194" s="2" t="n"/>
      <c r="F194" s="2" t="n"/>
      <c r="H194" s="3" t="n"/>
      <c r="K194" s="2">
        <f>IF(F194="","",F194-J194)</f>
        <v/>
      </c>
      <c r="L194">
        <f>IF(F194="","",F194-TODAY())</f>
        <v/>
      </c>
      <c r="M194">
        <f>IF(F194="","",IF(L194&lt;0,"Expired",IF(L194&lt;=30,"⚠ Due in 30 Days",IF(L194&lt;=60,"Upcoming (60 Days)","Active"))))</f>
        <v/>
      </c>
      <c r="P194" s="3">
        <f>IF(G194="Monthly",H194*12,IF(G194="Quarterly",H194*4,IF(G194="Annual",H194,IF(G194="Multi-Year",H194/2,H194))))</f>
        <v/>
      </c>
    </row>
    <row r="195">
      <c r="E195" s="2" t="n"/>
      <c r="F195" s="2" t="n"/>
      <c r="H195" s="3" t="n"/>
      <c r="K195" s="2">
        <f>IF(F195="","",F195-J195)</f>
        <v/>
      </c>
      <c r="L195">
        <f>IF(F195="","",F195-TODAY())</f>
        <v/>
      </c>
      <c r="M195">
        <f>IF(F195="","",IF(L195&lt;0,"Expired",IF(L195&lt;=30,"⚠ Due in 30 Days",IF(L195&lt;=60,"Upcoming (60 Days)","Active"))))</f>
        <v/>
      </c>
      <c r="P195" s="3">
        <f>IF(G195="Monthly",H195*12,IF(G195="Quarterly",H195*4,IF(G195="Annual",H195,IF(G195="Multi-Year",H195/2,H195))))</f>
        <v/>
      </c>
    </row>
    <row r="196">
      <c r="E196" s="2" t="n"/>
      <c r="F196" s="2" t="n"/>
      <c r="H196" s="3" t="n"/>
      <c r="K196" s="2">
        <f>IF(F196="","",F196-J196)</f>
        <v/>
      </c>
      <c r="L196">
        <f>IF(F196="","",F196-TODAY())</f>
        <v/>
      </c>
      <c r="M196">
        <f>IF(F196="","",IF(L196&lt;0,"Expired",IF(L196&lt;=30,"⚠ Due in 30 Days",IF(L196&lt;=60,"Upcoming (60 Days)","Active"))))</f>
        <v/>
      </c>
      <c r="P196" s="3">
        <f>IF(G196="Monthly",H196*12,IF(G196="Quarterly",H196*4,IF(G196="Annual",H196,IF(G196="Multi-Year",H196/2,H196))))</f>
        <v/>
      </c>
    </row>
    <row r="197">
      <c r="E197" s="2" t="n"/>
      <c r="F197" s="2" t="n"/>
      <c r="H197" s="3" t="n"/>
      <c r="K197" s="2">
        <f>IF(F197="","",F197-J197)</f>
        <v/>
      </c>
      <c r="L197">
        <f>IF(F197="","",F197-TODAY())</f>
        <v/>
      </c>
      <c r="M197">
        <f>IF(F197="","",IF(L197&lt;0,"Expired",IF(L197&lt;=30,"⚠ Due in 30 Days",IF(L197&lt;=60,"Upcoming (60 Days)","Active"))))</f>
        <v/>
      </c>
      <c r="P197" s="3">
        <f>IF(G197="Monthly",H197*12,IF(G197="Quarterly",H197*4,IF(G197="Annual",H197,IF(G197="Multi-Year",H197/2,H197))))</f>
        <v/>
      </c>
    </row>
    <row r="198">
      <c r="E198" s="2" t="n"/>
      <c r="F198" s="2" t="n"/>
      <c r="H198" s="3" t="n"/>
      <c r="K198" s="2">
        <f>IF(F198="","",F198-J198)</f>
        <v/>
      </c>
      <c r="L198">
        <f>IF(F198="","",F198-TODAY())</f>
        <v/>
      </c>
      <c r="M198">
        <f>IF(F198="","",IF(L198&lt;0,"Expired",IF(L198&lt;=30,"⚠ Due in 30 Days",IF(L198&lt;=60,"Upcoming (60 Days)","Active"))))</f>
        <v/>
      </c>
      <c r="P198" s="3">
        <f>IF(G198="Monthly",H198*12,IF(G198="Quarterly",H198*4,IF(G198="Annual",H198,IF(G198="Multi-Year",H198/2,H198))))</f>
        <v/>
      </c>
    </row>
    <row r="199">
      <c r="E199" s="2" t="n"/>
      <c r="F199" s="2" t="n"/>
      <c r="H199" s="3" t="n"/>
      <c r="K199" s="2">
        <f>IF(F199="","",F199-J199)</f>
        <v/>
      </c>
      <c r="L199">
        <f>IF(F199="","",F199-TODAY())</f>
        <v/>
      </c>
      <c r="M199">
        <f>IF(F199="","",IF(L199&lt;0,"Expired",IF(L199&lt;=30,"⚠ Due in 30 Days",IF(L199&lt;=60,"Upcoming (60 Days)","Active"))))</f>
        <v/>
      </c>
      <c r="P199" s="3">
        <f>IF(G199="Monthly",H199*12,IF(G199="Quarterly",H199*4,IF(G199="Annual",H199,IF(G199="Multi-Year",H199/2,H199))))</f>
        <v/>
      </c>
    </row>
    <row r="200">
      <c r="E200" s="2" t="n"/>
      <c r="F200" s="2" t="n"/>
      <c r="H200" s="3" t="n"/>
      <c r="K200" s="2">
        <f>IF(F200="","",F200-J200)</f>
        <v/>
      </c>
      <c r="L200">
        <f>IF(F200="","",F200-TODAY())</f>
        <v/>
      </c>
      <c r="M200">
        <f>IF(F200="","",IF(L200&lt;0,"Expired",IF(L200&lt;=30,"⚠ Due in 30 Days",IF(L200&lt;=60,"Upcoming (60 Days)","Active"))))</f>
        <v/>
      </c>
      <c r="P200" s="3">
        <f>IF(G200="Monthly",H200*12,IF(G200="Quarterly",H200*4,IF(G200="Annual",H200,IF(G200="Multi-Year",H200/2,H200))))</f>
        <v/>
      </c>
    </row>
    <row r="201">
      <c r="E201" s="2" t="n"/>
      <c r="F201" s="2" t="n"/>
      <c r="H201" s="3" t="n"/>
      <c r="K201" s="2">
        <f>IF(F201="","",F201-J201)</f>
        <v/>
      </c>
      <c r="L201">
        <f>IF(F201="","",F201-TODAY())</f>
        <v/>
      </c>
      <c r="M201">
        <f>IF(F201="","",IF(L201&lt;0,"Expired",IF(L201&lt;=30,"⚠ Due in 30 Days",IF(L201&lt;=60,"Upcoming (60 Days)","Active"))))</f>
        <v/>
      </c>
      <c r="P201" s="3">
        <f>IF(G201="Monthly",H201*12,IF(G201="Quarterly",H201*4,IF(G201="Annual",H201,IF(G201="Multi-Year",H201/2,H201))))</f>
        <v/>
      </c>
    </row>
    <row r="202">
      <c r="E202" s="2" t="n"/>
      <c r="F202" s="2" t="n"/>
      <c r="H202" s="3" t="n"/>
      <c r="K202" s="2">
        <f>IF(F202="","",F202-J202)</f>
        <v/>
      </c>
      <c r="L202">
        <f>IF(F202="","",F202-TODAY())</f>
        <v/>
      </c>
      <c r="M202">
        <f>IF(F202="","",IF(L202&lt;0,"Expired",IF(L202&lt;=30,"⚠ Due in 30 Days",IF(L202&lt;=60,"Upcoming (60 Days)","Active"))))</f>
        <v/>
      </c>
      <c r="P202" s="3">
        <f>IF(G202="Monthly",H202*12,IF(G202="Quarterly",H202*4,IF(G202="Annual",H202,IF(G202="Multi-Year",H202/2,H202))))</f>
        <v/>
      </c>
    </row>
    <row r="203">
      <c r="E203" s="2" t="n"/>
      <c r="F203" s="2" t="n"/>
      <c r="H203" s="3" t="n"/>
      <c r="K203" s="2">
        <f>IF(F203="","",F203-J203)</f>
        <v/>
      </c>
      <c r="L203">
        <f>IF(F203="","",F203-TODAY())</f>
        <v/>
      </c>
      <c r="M203">
        <f>IF(F203="","",IF(L203&lt;0,"Expired",IF(L203&lt;=30,"⚠ Due in 30 Days",IF(L203&lt;=60,"Upcoming (60 Days)","Active"))))</f>
        <v/>
      </c>
      <c r="P203" s="3">
        <f>IF(G203="Monthly",H203*12,IF(G203="Quarterly",H203*4,IF(G203="Annual",H203,IF(G203="Multi-Year",H203/2,H203))))</f>
        <v/>
      </c>
    </row>
    <row r="204">
      <c r="E204" s="2" t="n"/>
      <c r="F204" s="2" t="n"/>
      <c r="H204" s="3" t="n"/>
      <c r="K204" s="2">
        <f>IF(F204="","",F204-J204)</f>
        <v/>
      </c>
      <c r="L204">
        <f>IF(F204="","",F204-TODAY())</f>
        <v/>
      </c>
      <c r="M204">
        <f>IF(F204="","",IF(L204&lt;0,"Expired",IF(L204&lt;=30,"⚠ Due in 30 Days",IF(L204&lt;=60,"Upcoming (60 Days)","Active"))))</f>
        <v/>
      </c>
      <c r="P204" s="3">
        <f>IF(G204="Monthly",H204*12,IF(G204="Quarterly",H204*4,IF(G204="Annual",H204,IF(G204="Multi-Year",H204/2,H204))))</f>
        <v/>
      </c>
    </row>
    <row r="205">
      <c r="E205" s="2" t="n"/>
      <c r="F205" s="2" t="n"/>
      <c r="H205" s="3" t="n"/>
      <c r="K205" s="2">
        <f>IF(F205="","",F205-J205)</f>
        <v/>
      </c>
      <c r="L205">
        <f>IF(F205="","",F205-TODAY())</f>
        <v/>
      </c>
      <c r="M205">
        <f>IF(F205="","",IF(L205&lt;0,"Expired",IF(L205&lt;=30,"⚠ Due in 30 Days",IF(L205&lt;=60,"Upcoming (60 Days)","Active"))))</f>
        <v/>
      </c>
      <c r="P205" s="3">
        <f>IF(G205="Monthly",H205*12,IF(G205="Quarterly",H205*4,IF(G205="Annual",H205,IF(G205="Multi-Year",H205/2,H205))))</f>
        <v/>
      </c>
    </row>
    <row r="206">
      <c r="E206" s="2" t="n"/>
      <c r="F206" s="2" t="n"/>
      <c r="H206" s="3" t="n"/>
      <c r="K206" s="2">
        <f>IF(F206="","",F206-J206)</f>
        <v/>
      </c>
      <c r="L206">
        <f>IF(F206="","",F206-TODAY())</f>
        <v/>
      </c>
      <c r="M206">
        <f>IF(F206="","",IF(L206&lt;0,"Expired",IF(L206&lt;=30,"⚠ Due in 30 Days",IF(L206&lt;=60,"Upcoming (60 Days)","Active"))))</f>
        <v/>
      </c>
      <c r="P206" s="3">
        <f>IF(G206="Monthly",H206*12,IF(G206="Quarterly",H206*4,IF(G206="Annual",H206,IF(G206="Multi-Year",H206/2,H206))))</f>
        <v/>
      </c>
    </row>
    <row r="207">
      <c r="E207" s="2" t="n"/>
      <c r="F207" s="2" t="n"/>
      <c r="H207" s="3" t="n"/>
      <c r="K207" s="2">
        <f>IF(F207="","",F207-J207)</f>
        <v/>
      </c>
      <c r="L207">
        <f>IF(F207="","",F207-TODAY())</f>
        <v/>
      </c>
      <c r="M207">
        <f>IF(F207="","",IF(L207&lt;0,"Expired",IF(L207&lt;=30,"⚠ Due in 30 Days",IF(L207&lt;=60,"Upcoming (60 Days)","Active"))))</f>
        <v/>
      </c>
      <c r="P207" s="3">
        <f>IF(G207="Monthly",H207*12,IF(G207="Quarterly",H207*4,IF(G207="Annual",H207,IF(G207="Multi-Year",H207/2,H207))))</f>
        <v/>
      </c>
    </row>
    <row r="208">
      <c r="E208" s="2" t="n"/>
      <c r="F208" s="2" t="n"/>
      <c r="H208" s="3" t="n"/>
      <c r="K208" s="2">
        <f>IF(F208="","",F208-J208)</f>
        <v/>
      </c>
      <c r="L208">
        <f>IF(F208="","",F208-TODAY())</f>
        <v/>
      </c>
      <c r="M208">
        <f>IF(F208="","",IF(L208&lt;0,"Expired",IF(L208&lt;=30,"⚠ Due in 30 Days",IF(L208&lt;=60,"Upcoming (60 Days)","Active"))))</f>
        <v/>
      </c>
      <c r="P208" s="3">
        <f>IF(G208="Monthly",H208*12,IF(G208="Quarterly",H208*4,IF(G208="Annual",H208,IF(G208="Multi-Year",H208/2,H208))))</f>
        <v/>
      </c>
    </row>
    <row r="209">
      <c r="E209" s="2" t="n"/>
      <c r="F209" s="2" t="n"/>
      <c r="H209" s="3" t="n"/>
      <c r="K209" s="2">
        <f>IF(F209="","",F209-J209)</f>
        <v/>
      </c>
      <c r="L209">
        <f>IF(F209="","",F209-TODAY())</f>
        <v/>
      </c>
      <c r="M209">
        <f>IF(F209="","",IF(L209&lt;0,"Expired",IF(L209&lt;=30,"⚠ Due in 30 Days",IF(L209&lt;=60,"Upcoming (60 Days)","Active"))))</f>
        <v/>
      </c>
      <c r="P209" s="3">
        <f>IF(G209="Monthly",H209*12,IF(G209="Quarterly",H209*4,IF(G209="Annual",H209,IF(G209="Multi-Year",H209/2,H209))))</f>
        <v/>
      </c>
    </row>
    <row r="210">
      <c r="E210" s="2" t="n"/>
      <c r="F210" s="2" t="n"/>
      <c r="H210" s="3" t="n"/>
      <c r="K210" s="2">
        <f>IF(F210="","",F210-J210)</f>
        <v/>
      </c>
      <c r="L210">
        <f>IF(F210="","",F210-TODAY())</f>
        <v/>
      </c>
      <c r="M210">
        <f>IF(F210="","",IF(L210&lt;0,"Expired",IF(L210&lt;=30,"⚠ Due in 30 Days",IF(L210&lt;=60,"Upcoming (60 Days)","Active"))))</f>
        <v/>
      </c>
      <c r="P210" s="3">
        <f>IF(G210="Monthly",H210*12,IF(G210="Quarterly",H210*4,IF(G210="Annual",H210,IF(G210="Multi-Year",H210/2,H210))))</f>
        <v/>
      </c>
    </row>
    <row r="211">
      <c r="E211" s="2" t="n"/>
      <c r="F211" s="2" t="n"/>
      <c r="H211" s="3" t="n"/>
      <c r="K211" s="2">
        <f>IF(F211="","",F211-J211)</f>
        <v/>
      </c>
      <c r="L211">
        <f>IF(F211="","",F211-TODAY())</f>
        <v/>
      </c>
      <c r="M211">
        <f>IF(F211="","",IF(L211&lt;0,"Expired",IF(L211&lt;=30,"⚠ Due in 30 Days",IF(L211&lt;=60,"Upcoming (60 Days)","Active"))))</f>
        <v/>
      </c>
      <c r="P211" s="3">
        <f>IF(G211="Monthly",H211*12,IF(G211="Quarterly",H211*4,IF(G211="Annual",H211,IF(G211="Multi-Year",H211/2,H211))))</f>
        <v/>
      </c>
    </row>
    <row r="212">
      <c r="E212" s="2" t="n"/>
      <c r="F212" s="2" t="n"/>
      <c r="H212" s="3" t="n"/>
      <c r="K212" s="2">
        <f>IF(F212="","",F212-J212)</f>
        <v/>
      </c>
      <c r="L212">
        <f>IF(F212="","",F212-TODAY())</f>
        <v/>
      </c>
      <c r="M212">
        <f>IF(F212="","",IF(L212&lt;0,"Expired",IF(L212&lt;=30,"⚠ Due in 30 Days",IF(L212&lt;=60,"Upcoming (60 Days)","Active"))))</f>
        <v/>
      </c>
      <c r="P212" s="3">
        <f>IF(G212="Monthly",H212*12,IF(G212="Quarterly",H212*4,IF(G212="Annual",H212,IF(G212="Multi-Year",H212/2,H212))))</f>
        <v/>
      </c>
    </row>
    <row r="213">
      <c r="E213" s="2" t="n"/>
      <c r="F213" s="2" t="n"/>
      <c r="H213" s="3" t="n"/>
      <c r="K213" s="2">
        <f>IF(F213="","",F213-J213)</f>
        <v/>
      </c>
      <c r="L213">
        <f>IF(F213="","",F213-TODAY())</f>
        <v/>
      </c>
      <c r="M213">
        <f>IF(F213="","",IF(L213&lt;0,"Expired",IF(L213&lt;=30,"⚠ Due in 30 Days",IF(L213&lt;=60,"Upcoming (60 Days)","Active"))))</f>
        <v/>
      </c>
      <c r="P213" s="3">
        <f>IF(G213="Monthly",H213*12,IF(G213="Quarterly",H213*4,IF(G213="Annual",H213,IF(G213="Multi-Year",H213/2,H213))))</f>
        <v/>
      </c>
    </row>
    <row r="214">
      <c r="E214" s="2" t="n"/>
      <c r="F214" s="2" t="n"/>
      <c r="H214" s="3" t="n"/>
      <c r="K214" s="2">
        <f>IF(F214="","",F214-J214)</f>
        <v/>
      </c>
      <c r="L214">
        <f>IF(F214="","",F214-TODAY())</f>
        <v/>
      </c>
      <c r="M214">
        <f>IF(F214="","",IF(L214&lt;0,"Expired",IF(L214&lt;=30,"⚠ Due in 30 Days",IF(L214&lt;=60,"Upcoming (60 Days)","Active"))))</f>
        <v/>
      </c>
      <c r="P214" s="3">
        <f>IF(G214="Monthly",H214*12,IF(G214="Quarterly",H214*4,IF(G214="Annual",H214,IF(G214="Multi-Year",H214/2,H214))))</f>
        <v/>
      </c>
    </row>
    <row r="215">
      <c r="E215" s="2" t="n"/>
      <c r="F215" s="2" t="n"/>
      <c r="H215" s="3" t="n"/>
      <c r="K215" s="2">
        <f>IF(F215="","",F215-J215)</f>
        <v/>
      </c>
      <c r="L215">
        <f>IF(F215="","",F215-TODAY())</f>
        <v/>
      </c>
      <c r="M215">
        <f>IF(F215="","",IF(L215&lt;0,"Expired",IF(L215&lt;=30,"⚠ Due in 30 Days",IF(L215&lt;=60,"Upcoming (60 Days)","Active"))))</f>
        <v/>
      </c>
      <c r="P215" s="3">
        <f>IF(G215="Monthly",H215*12,IF(G215="Quarterly",H215*4,IF(G215="Annual",H215,IF(G215="Multi-Year",H215/2,H215))))</f>
        <v/>
      </c>
    </row>
    <row r="216">
      <c r="E216" s="2" t="n"/>
      <c r="F216" s="2" t="n"/>
      <c r="H216" s="3" t="n"/>
      <c r="K216" s="2">
        <f>IF(F216="","",F216-J216)</f>
        <v/>
      </c>
      <c r="L216">
        <f>IF(F216="","",F216-TODAY())</f>
        <v/>
      </c>
      <c r="M216">
        <f>IF(F216="","",IF(L216&lt;0,"Expired",IF(L216&lt;=30,"⚠ Due in 30 Days",IF(L216&lt;=60,"Upcoming (60 Days)","Active"))))</f>
        <v/>
      </c>
      <c r="P216" s="3">
        <f>IF(G216="Monthly",H216*12,IF(G216="Quarterly",H216*4,IF(G216="Annual",H216,IF(G216="Multi-Year",H216/2,H216))))</f>
        <v/>
      </c>
    </row>
    <row r="217">
      <c r="E217" s="2" t="n"/>
      <c r="F217" s="2" t="n"/>
      <c r="H217" s="3" t="n"/>
      <c r="K217" s="2">
        <f>IF(F217="","",F217-J217)</f>
        <v/>
      </c>
      <c r="L217">
        <f>IF(F217="","",F217-TODAY())</f>
        <v/>
      </c>
      <c r="M217">
        <f>IF(F217="","",IF(L217&lt;0,"Expired",IF(L217&lt;=30,"⚠ Due in 30 Days",IF(L217&lt;=60,"Upcoming (60 Days)","Active"))))</f>
        <v/>
      </c>
      <c r="P217" s="3">
        <f>IF(G217="Monthly",H217*12,IF(G217="Quarterly",H217*4,IF(G217="Annual",H217,IF(G217="Multi-Year",H217/2,H217))))</f>
        <v/>
      </c>
    </row>
    <row r="218">
      <c r="E218" s="2" t="n"/>
      <c r="F218" s="2" t="n"/>
      <c r="H218" s="3" t="n"/>
      <c r="K218" s="2">
        <f>IF(F218="","",F218-J218)</f>
        <v/>
      </c>
      <c r="L218">
        <f>IF(F218="","",F218-TODAY())</f>
        <v/>
      </c>
      <c r="M218">
        <f>IF(F218="","",IF(L218&lt;0,"Expired",IF(L218&lt;=30,"⚠ Due in 30 Days",IF(L218&lt;=60,"Upcoming (60 Days)","Active"))))</f>
        <v/>
      </c>
      <c r="P218" s="3">
        <f>IF(G218="Monthly",H218*12,IF(G218="Quarterly",H218*4,IF(G218="Annual",H218,IF(G218="Multi-Year",H218/2,H218))))</f>
        <v/>
      </c>
    </row>
    <row r="219">
      <c r="E219" s="2" t="n"/>
      <c r="F219" s="2" t="n"/>
      <c r="H219" s="3" t="n"/>
      <c r="K219" s="2">
        <f>IF(F219="","",F219-J219)</f>
        <v/>
      </c>
      <c r="L219">
        <f>IF(F219="","",F219-TODAY())</f>
        <v/>
      </c>
      <c r="M219">
        <f>IF(F219="","",IF(L219&lt;0,"Expired",IF(L219&lt;=30,"⚠ Due in 30 Days",IF(L219&lt;=60,"Upcoming (60 Days)","Active"))))</f>
        <v/>
      </c>
      <c r="P219" s="3">
        <f>IF(G219="Monthly",H219*12,IF(G219="Quarterly",H219*4,IF(G219="Annual",H219,IF(G219="Multi-Year",H219/2,H219))))</f>
        <v/>
      </c>
    </row>
    <row r="220">
      <c r="E220" s="2" t="n"/>
      <c r="F220" s="2" t="n"/>
      <c r="H220" s="3" t="n"/>
      <c r="K220" s="2">
        <f>IF(F220="","",F220-J220)</f>
        <v/>
      </c>
      <c r="L220">
        <f>IF(F220="","",F220-TODAY())</f>
        <v/>
      </c>
      <c r="M220">
        <f>IF(F220="","",IF(L220&lt;0,"Expired",IF(L220&lt;=30,"⚠ Due in 30 Days",IF(L220&lt;=60,"Upcoming (60 Days)","Active"))))</f>
        <v/>
      </c>
      <c r="P220" s="3">
        <f>IF(G220="Monthly",H220*12,IF(G220="Quarterly",H220*4,IF(G220="Annual",H220,IF(G220="Multi-Year",H220/2,H220))))</f>
        <v/>
      </c>
    </row>
    <row r="221">
      <c r="E221" s="2" t="n"/>
      <c r="F221" s="2" t="n"/>
      <c r="H221" s="3" t="n"/>
      <c r="K221" s="2">
        <f>IF(F221="","",F221-J221)</f>
        <v/>
      </c>
      <c r="L221">
        <f>IF(F221="","",F221-TODAY())</f>
        <v/>
      </c>
      <c r="M221">
        <f>IF(F221="","",IF(L221&lt;0,"Expired",IF(L221&lt;=30,"⚠ Due in 30 Days",IF(L221&lt;=60,"Upcoming (60 Days)","Active"))))</f>
        <v/>
      </c>
      <c r="P221" s="3">
        <f>IF(G221="Monthly",H221*12,IF(G221="Quarterly",H221*4,IF(G221="Annual",H221,IF(G221="Multi-Year",H221/2,H221))))</f>
        <v/>
      </c>
    </row>
    <row r="222">
      <c r="E222" s="2" t="n"/>
      <c r="F222" s="2" t="n"/>
      <c r="H222" s="3" t="n"/>
      <c r="K222" s="2">
        <f>IF(F222="","",F222-J222)</f>
        <v/>
      </c>
      <c r="L222">
        <f>IF(F222="","",F222-TODAY())</f>
        <v/>
      </c>
      <c r="M222">
        <f>IF(F222="","",IF(L222&lt;0,"Expired",IF(L222&lt;=30,"⚠ Due in 30 Days",IF(L222&lt;=60,"Upcoming (60 Days)","Active"))))</f>
        <v/>
      </c>
      <c r="P222" s="3">
        <f>IF(G222="Monthly",H222*12,IF(G222="Quarterly",H222*4,IF(G222="Annual",H222,IF(G222="Multi-Year",H222/2,H222))))</f>
        <v/>
      </c>
    </row>
    <row r="223">
      <c r="E223" s="2" t="n"/>
      <c r="F223" s="2" t="n"/>
      <c r="H223" s="3" t="n"/>
      <c r="K223" s="2">
        <f>IF(F223="","",F223-J223)</f>
        <v/>
      </c>
      <c r="L223">
        <f>IF(F223="","",F223-TODAY())</f>
        <v/>
      </c>
      <c r="M223">
        <f>IF(F223="","",IF(L223&lt;0,"Expired",IF(L223&lt;=30,"⚠ Due in 30 Days",IF(L223&lt;=60,"Upcoming (60 Days)","Active"))))</f>
        <v/>
      </c>
      <c r="P223" s="3">
        <f>IF(G223="Monthly",H223*12,IF(G223="Quarterly",H223*4,IF(G223="Annual",H223,IF(G223="Multi-Year",H223/2,H223))))</f>
        <v/>
      </c>
    </row>
    <row r="224">
      <c r="E224" s="2" t="n"/>
      <c r="F224" s="2" t="n"/>
      <c r="H224" s="3" t="n"/>
      <c r="K224" s="2">
        <f>IF(F224="","",F224-J224)</f>
        <v/>
      </c>
      <c r="L224">
        <f>IF(F224="","",F224-TODAY())</f>
        <v/>
      </c>
      <c r="M224">
        <f>IF(F224="","",IF(L224&lt;0,"Expired",IF(L224&lt;=30,"⚠ Due in 30 Days",IF(L224&lt;=60,"Upcoming (60 Days)","Active"))))</f>
        <v/>
      </c>
      <c r="P224" s="3">
        <f>IF(G224="Monthly",H224*12,IF(G224="Quarterly",H224*4,IF(G224="Annual",H224,IF(G224="Multi-Year",H224/2,H224))))</f>
        <v/>
      </c>
    </row>
    <row r="225">
      <c r="E225" s="2" t="n"/>
      <c r="F225" s="2" t="n"/>
      <c r="H225" s="3" t="n"/>
      <c r="K225" s="2">
        <f>IF(F225="","",F225-J225)</f>
        <v/>
      </c>
      <c r="L225">
        <f>IF(F225="","",F225-TODAY())</f>
        <v/>
      </c>
      <c r="M225">
        <f>IF(F225="","",IF(L225&lt;0,"Expired",IF(L225&lt;=30,"⚠ Due in 30 Days",IF(L225&lt;=60,"Upcoming (60 Days)","Active"))))</f>
        <v/>
      </c>
      <c r="P225" s="3">
        <f>IF(G225="Monthly",H225*12,IF(G225="Quarterly",H225*4,IF(G225="Annual",H225,IF(G225="Multi-Year",H225/2,H225))))</f>
        <v/>
      </c>
    </row>
    <row r="226">
      <c r="E226" s="2" t="n"/>
      <c r="F226" s="2" t="n"/>
      <c r="H226" s="3" t="n"/>
      <c r="K226" s="2">
        <f>IF(F226="","",F226-J226)</f>
        <v/>
      </c>
      <c r="L226">
        <f>IF(F226="","",F226-TODAY())</f>
        <v/>
      </c>
      <c r="M226">
        <f>IF(F226="","",IF(L226&lt;0,"Expired",IF(L226&lt;=30,"⚠ Due in 30 Days",IF(L226&lt;=60,"Upcoming (60 Days)","Active"))))</f>
        <v/>
      </c>
      <c r="P226" s="3">
        <f>IF(G226="Monthly",H226*12,IF(G226="Quarterly",H226*4,IF(G226="Annual",H226,IF(G226="Multi-Year",H226/2,H226))))</f>
        <v/>
      </c>
    </row>
    <row r="227">
      <c r="E227" s="2" t="n"/>
      <c r="F227" s="2" t="n"/>
      <c r="H227" s="3" t="n"/>
      <c r="K227" s="2">
        <f>IF(F227="","",F227-J227)</f>
        <v/>
      </c>
      <c r="L227">
        <f>IF(F227="","",F227-TODAY())</f>
        <v/>
      </c>
      <c r="M227">
        <f>IF(F227="","",IF(L227&lt;0,"Expired",IF(L227&lt;=30,"⚠ Due in 30 Days",IF(L227&lt;=60,"Upcoming (60 Days)","Active"))))</f>
        <v/>
      </c>
      <c r="P227" s="3">
        <f>IF(G227="Monthly",H227*12,IF(G227="Quarterly",H227*4,IF(G227="Annual",H227,IF(G227="Multi-Year",H227/2,H227))))</f>
        <v/>
      </c>
    </row>
    <row r="228">
      <c r="E228" s="2" t="n"/>
      <c r="F228" s="2" t="n"/>
      <c r="H228" s="3" t="n"/>
      <c r="K228" s="2">
        <f>IF(F228="","",F228-J228)</f>
        <v/>
      </c>
      <c r="L228">
        <f>IF(F228="","",F228-TODAY())</f>
        <v/>
      </c>
      <c r="M228">
        <f>IF(F228="","",IF(L228&lt;0,"Expired",IF(L228&lt;=30,"⚠ Due in 30 Days",IF(L228&lt;=60,"Upcoming (60 Days)","Active"))))</f>
        <v/>
      </c>
      <c r="P228" s="3">
        <f>IF(G228="Monthly",H228*12,IF(G228="Quarterly",H228*4,IF(G228="Annual",H228,IF(G228="Multi-Year",H228/2,H228))))</f>
        <v/>
      </c>
    </row>
    <row r="229">
      <c r="E229" s="2" t="n"/>
      <c r="F229" s="2" t="n"/>
      <c r="H229" s="3" t="n"/>
      <c r="K229" s="2">
        <f>IF(F229="","",F229-J229)</f>
        <v/>
      </c>
      <c r="L229">
        <f>IF(F229="","",F229-TODAY())</f>
        <v/>
      </c>
      <c r="M229">
        <f>IF(F229="","",IF(L229&lt;0,"Expired",IF(L229&lt;=30,"⚠ Due in 30 Days",IF(L229&lt;=60,"Upcoming (60 Days)","Active"))))</f>
        <v/>
      </c>
      <c r="P229" s="3">
        <f>IF(G229="Monthly",H229*12,IF(G229="Quarterly",H229*4,IF(G229="Annual",H229,IF(G229="Multi-Year",H229/2,H229))))</f>
        <v/>
      </c>
    </row>
    <row r="230">
      <c r="E230" s="2" t="n"/>
      <c r="F230" s="2" t="n"/>
      <c r="H230" s="3" t="n"/>
      <c r="K230" s="2">
        <f>IF(F230="","",F230-J230)</f>
        <v/>
      </c>
      <c r="L230">
        <f>IF(F230="","",F230-TODAY())</f>
        <v/>
      </c>
      <c r="M230">
        <f>IF(F230="","",IF(L230&lt;0,"Expired",IF(L230&lt;=30,"⚠ Due in 30 Days",IF(L230&lt;=60,"Upcoming (60 Days)","Active"))))</f>
        <v/>
      </c>
      <c r="P230" s="3">
        <f>IF(G230="Monthly",H230*12,IF(G230="Quarterly",H230*4,IF(G230="Annual",H230,IF(G230="Multi-Year",H230/2,H230))))</f>
        <v/>
      </c>
    </row>
    <row r="231">
      <c r="E231" s="2" t="n"/>
      <c r="F231" s="2" t="n"/>
      <c r="H231" s="3" t="n"/>
      <c r="K231" s="2">
        <f>IF(F231="","",F231-J231)</f>
        <v/>
      </c>
      <c r="L231">
        <f>IF(F231="","",F231-TODAY())</f>
        <v/>
      </c>
      <c r="M231">
        <f>IF(F231="","",IF(L231&lt;0,"Expired",IF(L231&lt;=30,"⚠ Due in 30 Days",IF(L231&lt;=60,"Upcoming (60 Days)","Active"))))</f>
        <v/>
      </c>
      <c r="P231" s="3">
        <f>IF(G231="Monthly",H231*12,IF(G231="Quarterly",H231*4,IF(G231="Annual",H231,IF(G231="Multi-Year",H231/2,H231))))</f>
        <v/>
      </c>
    </row>
    <row r="232">
      <c r="E232" s="2" t="n"/>
      <c r="F232" s="2" t="n"/>
      <c r="H232" s="3" t="n"/>
      <c r="K232" s="2">
        <f>IF(F232="","",F232-J232)</f>
        <v/>
      </c>
      <c r="L232">
        <f>IF(F232="","",F232-TODAY())</f>
        <v/>
      </c>
      <c r="M232">
        <f>IF(F232="","",IF(L232&lt;0,"Expired",IF(L232&lt;=30,"⚠ Due in 30 Days",IF(L232&lt;=60,"Upcoming (60 Days)","Active"))))</f>
        <v/>
      </c>
      <c r="P232" s="3">
        <f>IF(G232="Monthly",H232*12,IF(G232="Quarterly",H232*4,IF(G232="Annual",H232,IF(G232="Multi-Year",H232/2,H232))))</f>
        <v/>
      </c>
    </row>
    <row r="233">
      <c r="E233" s="2" t="n"/>
      <c r="F233" s="2" t="n"/>
      <c r="H233" s="3" t="n"/>
      <c r="K233" s="2">
        <f>IF(F233="","",F233-J233)</f>
        <v/>
      </c>
      <c r="L233">
        <f>IF(F233="","",F233-TODAY())</f>
        <v/>
      </c>
      <c r="M233">
        <f>IF(F233="","",IF(L233&lt;0,"Expired",IF(L233&lt;=30,"⚠ Due in 30 Days",IF(L233&lt;=60,"Upcoming (60 Days)","Active"))))</f>
        <v/>
      </c>
      <c r="P233" s="3">
        <f>IF(G233="Monthly",H233*12,IF(G233="Quarterly",H233*4,IF(G233="Annual",H233,IF(G233="Multi-Year",H233/2,H233))))</f>
        <v/>
      </c>
    </row>
    <row r="234">
      <c r="E234" s="2" t="n"/>
      <c r="F234" s="2" t="n"/>
      <c r="H234" s="3" t="n"/>
      <c r="K234" s="2">
        <f>IF(F234="","",F234-J234)</f>
        <v/>
      </c>
      <c r="L234">
        <f>IF(F234="","",F234-TODAY())</f>
        <v/>
      </c>
      <c r="M234">
        <f>IF(F234="","",IF(L234&lt;0,"Expired",IF(L234&lt;=30,"⚠ Due in 30 Days",IF(L234&lt;=60,"Upcoming (60 Days)","Active"))))</f>
        <v/>
      </c>
      <c r="P234" s="3">
        <f>IF(G234="Monthly",H234*12,IF(G234="Quarterly",H234*4,IF(G234="Annual",H234,IF(G234="Multi-Year",H234/2,H234))))</f>
        <v/>
      </c>
    </row>
    <row r="235">
      <c r="E235" s="2" t="n"/>
      <c r="F235" s="2" t="n"/>
      <c r="H235" s="3" t="n"/>
      <c r="K235" s="2">
        <f>IF(F235="","",F235-J235)</f>
        <v/>
      </c>
      <c r="L235">
        <f>IF(F235="","",F235-TODAY())</f>
        <v/>
      </c>
      <c r="M235">
        <f>IF(F235="","",IF(L235&lt;0,"Expired",IF(L235&lt;=30,"⚠ Due in 30 Days",IF(L235&lt;=60,"Upcoming (60 Days)","Active"))))</f>
        <v/>
      </c>
      <c r="P235" s="3">
        <f>IF(G235="Monthly",H235*12,IF(G235="Quarterly",H235*4,IF(G235="Annual",H235,IF(G235="Multi-Year",H235/2,H235))))</f>
        <v/>
      </c>
    </row>
    <row r="236">
      <c r="E236" s="2" t="n"/>
      <c r="F236" s="2" t="n"/>
      <c r="H236" s="3" t="n"/>
      <c r="K236" s="2">
        <f>IF(F236="","",F236-J236)</f>
        <v/>
      </c>
      <c r="L236">
        <f>IF(F236="","",F236-TODAY())</f>
        <v/>
      </c>
      <c r="M236">
        <f>IF(F236="","",IF(L236&lt;0,"Expired",IF(L236&lt;=30,"⚠ Due in 30 Days",IF(L236&lt;=60,"Upcoming (60 Days)","Active"))))</f>
        <v/>
      </c>
      <c r="P236" s="3">
        <f>IF(G236="Monthly",H236*12,IF(G236="Quarterly",H236*4,IF(G236="Annual",H236,IF(G236="Multi-Year",H236/2,H236))))</f>
        <v/>
      </c>
    </row>
    <row r="237">
      <c r="E237" s="2" t="n"/>
      <c r="F237" s="2" t="n"/>
      <c r="H237" s="3" t="n"/>
      <c r="K237" s="2">
        <f>IF(F237="","",F237-J237)</f>
        <v/>
      </c>
      <c r="L237">
        <f>IF(F237="","",F237-TODAY())</f>
        <v/>
      </c>
      <c r="M237">
        <f>IF(F237="","",IF(L237&lt;0,"Expired",IF(L237&lt;=30,"⚠ Due in 30 Days",IF(L237&lt;=60,"Upcoming (60 Days)","Active"))))</f>
        <v/>
      </c>
      <c r="P237" s="3">
        <f>IF(G237="Monthly",H237*12,IF(G237="Quarterly",H237*4,IF(G237="Annual",H237,IF(G237="Multi-Year",H237/2,H237))))</f>
        <v/>
      </c>
    </row>
    <row r="238">
      <c r="E238" s="2" t="n"/>
      <c r="F238" s="2" t="n"/>
      <c r="H238" s="3" t="n"/>
      <c r="K238" s="2">
        <f>IF(F238="","",F238-J238)</f>
        <v/>
      </c>
      <c r="L238">
        <f>IF(F238="","",F238-TODAY())</f>
        <v/>
      </c>
      <c r="M238">
        <f>IF(F238="","",IF(L238&lt;0,"Expired",IF(L238&lt;=30,"⚠ Due in 30 Days",IF(L238&lt;=60,"Upcoming (60 Days)","Active"))))</f>
        <v/>
      </c>
      <c r="P238" s="3">
        <f>IF(G238="Monthly",H238*12,IF(G238="Quarterly",H238*4,IF(G238="Annual",H238,IF(G238="Multi-Year",H238/2,H238))))</f>
        <v/>
      </c>
    </row>
    <row r="239">
      <c r="E239" s="2" t="n"/>
      <c r="F239" s="2" t="n"/>
      <c r="H239" s="3" t="n"/>
      <c r="K239" s="2">
        <f>IF(F239="","",F239-J239)</f>
        <v/>
      </c>
      <c r="L239">
        <f>IF(F239="","",F239-TODAY())</f>
        <v/>
      </c>
      <c r="M239">
        <f>IF(F239="","",IF(L239&lt;0,"Expired",IF(L239&lt;=30,"⚠ Due in 30 Days",IF(L239&lt;=60,"Upcoming (60 Days)","Active"))))</f>
        <v/>
      </c>
      <c r="P239" s="3">
        <f>IF(G239="Monthly",H239*12,IF(G239="Quarterly",H239*4,IF(G239="Annual",H239,IF(G239="Multi-Year",H239/2,H239))))</f>
        <v/>
      </c>
    </row>
    <row r="240">
      <c r="E240" s="2" t="n"/>
      <c r="F240" s="2" t="n"/>
      <c r="H240" s="3" t="n"/>
      <c r="K240" s="2">
        <f>IF(F240="","",F240-J240)</f>
        <v/>
      </c>
      <c r="L240">
        <f>IF(F240="","",F240-TODAY())</f>
        <v/>
      </c>
      <c r="M240">
        <f>IF(F240="","",IF(L240&lt;0,"Expired",IF(L240&lt;=30,"⚠ Due in 30 Days",IF(L240&lt;=60,"Upcoming (60 Days)","Active"))))</f>
        <v/>
      </c>
      <c r="P240" s="3">
        <f>IF(G240="Monthly",H240*12,IF(G240="Quarterly",H240*4,IF(G240="Annual",H240,IF(G240="Multi-Year",H240/2,H240))))</f>
        <v/>
      </c>
    </row>
    <row r="241">
      <c r="E241" s="2" t="n"/>
      <c r="F241" s="2" t="n"/>
      <c r="H241" s="3" t="n"/>
      <c r="K241" s="2">
        <f>IF(F241="","",F241-J241)</f>
        <v/>
      </c>
      <c r="L241">
        <f>IF(F241="","",F241-TODAY())</f>
        <v/>
      </c>
      <c r="M241">
        <f>IF(F241="","",IF(L241&lt;0,"Expired",IF(L241&lt;=30,"⚠ Due in 30 Days",IF(L241&lt;=60,"Upcoming (60 Days)","Active"))))</f>
        <v/>
      </c>
      <c r="P241" s="3">
        <f>IF(G241="Monthly",H241*12,IF(G241="Quarterly",H241*4,IF(G241="Annual",H241,IF(G241="Multi-Year",H241/2,H241))))</f>
        <v/>
      </c>
    </row>
    <row r="242">
      <c r="E242" s="2" t="n"/>
      <c r="F242" s="2" t="n"/>
      <c r="H242" s="3" t="n"/>
      <c r="K242" s="2">
        <f>IF(F242="","",F242-J242)</f>
        <v/>
      </c>
      <c r="L242">
        <f>IF(F242="","",F242-TODAY())</f>
        <v/>
      </c>
      <c r="M242">
        <f>IF(F242="","",IF(L242&lt;0,"Expired",IF(L242&lt;=30,"⚠ Due in 30 Days",IF(L242&lt;=60,"Upcoming (60 Days)","Active"))))</f>
        <v/>
      </c>
      <c r="P242" s="3">
        <f>IF(G242="Monthly",H242*12,IF(G242="Quarterly",H242*4,IF(G242="Annual",H242,IF(G242="Multi-Year",H242/2,H242))))</f>
        <v/>
      </c>
    </row>
    <row r="243">
      <c r="E243" s="2" t="n"/>
      <c r="F243" s="2" t="n"/>
      <c r="H243" s="3" t="n"/>
      <c r="K243" s="2">
        <f>IF(F243="","",F243-J243)</f>
        <v/>
      </c>
      <c r="L243">
        <f>IF(F243="","",F243-TODAY())</f>
        <v/>
      </c>
      <c r="M243">
        <f>IF(F243="","",IF(L243&lt;0,"Expired",IF(L243&lt;=30,"⚠ Due in 30 Days",IF(L243&lt;=60,"Upcoming (60 Days)","Active"))))</f>
        <v/>
      </c>
      <c r="P243" s="3">
        <f>IF(G243="Monthly",H243*12,IF(G243="Quarterly",H243*4,IF(G243="Annual",H243,IF(G243="Multi-Year",H243/2,H243))))</f>
        <v/>
      </c>
    </row>
    <row r="244">
      <c r="E244" s="2" t="n"/>
      <c r="F244" s="2" t="n"/>
      <c r="H244" s="3" t="n"/>
      <c r="K244" s="2">
        <f>IF(F244="","",F244-J244)</f>
        <v/>
      </c>
      <c r="L244">
        <f>IF(F244="","",F244-TODAY())</f>
        <v/>
      </c>
      <c r="M244">
        <f>IF(F244="","",IF(L244&lt;0,"Expired",IF(L244&lt;=30,"⚠ Due in 30 Days",IF(L244&lt;=60,"Upcoming (60 Days)","Active"))))</f>
        <v/>
      </c>
      <c r="P244" s="3">
        <f>IF(G244="Monthly",H244*12,IF(G244="Quarterly",H244*4,IF(G244="Annual",H244,IF(G244="Multi-Year",H244/2,H244))))</f>
        <v/>
      </c>
    </row>
    <row r="245">
      <c r="E245" s="2" t="n"/>
      <c r="F245" s="2" t="n"/>
      <c r="H245" s="3" t="n"/>
      <c r="K245" s="2">
        <f>IF(F245="","",F245-J245)</f>
        <v/>
      </c>
      <c r="L245">
        <f>IF(F245="","",F245-TODAY())</f>
        <v/>
      </c>
      <c r="M245">
        <f>IF(F245="","",IF(L245&lt;0,"Expired",IF(L245&lt;=30,"⚠ Due in 30 Days",IF(L245&lt;=60,"Upcoming (60 Days)","Active"))))</f>
        <v/>
      </c>
      <c r="P245" s="3">
        <f>IF(G245="Monthly",H245*12,IF(G245="Quarterly",H245*4,IF(G245="Annual",H245,IF(G245="Multi-Year",H245/2,H245))))</f>
        <v/>
      </c>
    </row>
    <row r="246">
      <c r="E246" s="2" t="n"/>
      <c r="F246" s="2" t="n"/>
      <c r="H246" s="3" t="n"/>
      <c r="K246" s="2">
        <f>IF(F246="","",F246-J246)</f>
        <v/>
      </c>
      <c r="L246">
        <f>IF(F246="","",F246-TODAY())</f>
        <v/>
      </c>
      <c r="M246">
        <f>IF(F246="","",IF(L246&lt;0,"Expired",IF(L246&lt;=30,"⚠ Due in 30 Days",IF(L246&lt;=60,"Upcoming (60 Days)","Active"))))</f>
        <v/>
      </c>
      <c r="P246" s="3">
        <f>IF(G246="Monthly",H246*12,IF(G246="Quarterly",H246*4,IF(G246="Annual",H246,IF(G246="Multi-Year",H246/2,H246))))</f>
        <v/>
      </c>
    </row>
    <row r="247">
      <c r="E247" s="2" t="n"/>
      <c r="F247" s="2" t="n"/>
      <c r="H247" s="3" t="n"/>
      <c r="K247" s="2">
        <f>IF(F247="","",F247-J247)</f>
        <v/>
      </c>
      <c r="L247">
        <f>IF(F247="","",F247-TODAY())</f>
        <v/>
      </c>
      <c r="M247">
        <f>IF(F247="","",IF(L247&lt;0,"Expired",IF(L247&lt;=30,"⚠ Due in 30 Days",IF(L247&lt;=60,"Upcoming (60 Days)","Active"))))</f>
        <v/>
      </c>
      <c r="P247" s="3">
        <f>IF(G247="Monthly",H247*12,IF(G247="Quarterly",H247*4,IF(G247="Annual",H247,IF(G247="Multi-Year",H247/2,H247))))</f>
        <v/>
      </c>
    </row>
    <row r="248">
      <c r="E248" s="2" t="n"/>
      <c r="F248" s="2" t="n"/>
      <c r="H248" s="3" t="n"/>
      <c r="K248" s="2">
        <f>IF(F248="","",F248-J248)</f>
        <v/>
      </c>
      <c r="L248">
        <f>IF(F248="","",F248-TODAY())</f>
        <v/>
      </c>
      <c r="M248">
        <f>IF(F248="","",IF(L248&lt;0,"Expired",IF(L248&lt;=30,"⚠ Due in 30 Days",IF(L248&lt;=60,"Upcoming (60 Days)","Active"))))</f>
        <v/>
      </c>
      <c r="P248" s="3">
        <f>IF(G248="Monthly",H248*12,IF(G248="Quarterly",H248*4,IF(G248="Annual",H248,IF(G248="Multi-Year",H248/2,H248))))</f>
        <v/>
      </c>
    </row>
    <row r="249">
      <c r="E249" s="2" t="n"/>
      <c r="F249" s="2" t="n"/>
      <c r="H249" s="3" t="n"/>
      <c r="K249" s="2">
        <f>IF(F249="","",F249-J249)</f>
        <v/>
      </c>
      <c r="L249">
        <f>IF(F249="","",F249-TODAY())</f>
        <v/>
      </c>
      <c r="M249">
        <f>IF(F249="","",IF(L249&lt;0,"Expired",IF(L249&lt;=30,"⚠ Due in 30 Days",IF(L249&lt;=60,"Upcoming (60 Days)","Active"))))</f>
        <v/>
      </c>
      <c r="P249" s="3">
        <f>IF(G249="Monthly",H249*12,IF(G249="Quarterly",H249*4,IF(G249="Annual",H249,IF(G249="Multi-Year",H249/2,H249))))</f>
        <v/>
      </c>
    </row>
    <row r="250">
      <c r="E250" s="2" t="n"/>
      <c r="F250" s="2" t="n"/>
      <c r="H250" s="3" t="n"/>
      <c r="K250" s="2">
        <f>IF(F250="","",F250-J250)</f>
        <v/>
      </c>
      <c r="L250">
        <f>IF(F250="","",F250-TODAY())</f>
        <v/>
      </c>
      <c r="M250">
        <f>IF(F250="","",IF(L250&lt;0,"Expired",IF(L250&lt;=30,"⚠ Due in 30 Days",IF(L250&lt;=60,"Upcoming (60 Days)","Active"))))</f>
        <v/>
      </c>
      <c r="P250" s="3">
        <f>IF(G250="Monthly",H250*12,IF(G250="Quarterly",H250*4,IF(G250="Annual",H250,IF(G250="Multi-Year",H250/2,H250))))</f>
        <v/>
      </c>
    </row>
    <row r="251">
      <c r="E251" s="2" t="n"/>
      <c r="F251" s="2" t="n"/>
      <c r="H251" s="3" t="n"/>
      <c r="K251" s="2">
        <f>IF(F251="","",F251-J251)</f>
        <v/>
      </c>
      <c r="L251">
        <f>IF(F251="","",F251-TODAY())</f>
        <v/>
      </c>
      <c r="M251">
        <f>IF(F251="","",IF(L251&lt;0,"Expired",IF(L251&lt;=30,"⚠ Due in 30 Days",IF(L251&lt;=60,"Upcoming (60 Days)","Active"))))</f>
        <v/>
      </c>
      <c r="P251" s="3">
        <f>IF(G251="Monthly",H251*12,IF(G251="Quarterly",H251*4,IF(G251="Annual",H251,IF(G251="Multi-Year",H251/2,H251))))</f>
        <v/>
      </c>
    </row>
    <row r="252">
      <c r="E252" s="2" t="n"/>
      <c r="F252" s="2" t="n"/>
      <c r="H252" s="3" t="n"/>
      <c r="K252" s="2">
        <f>IF(F252="","",F252-J252)</f>
        <v/>
      </c>
      <c r="L252">
        <f>IF(F252="","",F252-TODAY())</f>
        <v/>
      </c>
      <c r="M252">
        <f>IF(F252="","",IF(L252&lt;0,"Expired",IF(L252&lt;=30,"⚠ Due in 30 Days",IF(L252&lt;=60,"Upcoming (60 Days)","Active"))))</f>
        <v/>
      </c>
      <c r="P252" s="3">
        <f>IF(G252="Monthly",H252*12,IF(G252="Quarterly",H252*4,IF(G252="Annual",H252,IF(G252="Multi-Year",H252/2,H252))))</f>
        <v/>
      </c>
    </row>
    <row r="253">
      <c r="E253" s="2" t="n"/>
      <c r="F253" s="2" t="n"/>
      <c r="H253" s="3" t="n"/>
      <c r="K253" s="2">
        <f>IF(F253="","",F253-J253)</f>
        <v/>
      </c>
      <c r="L253">
        <f>IF(F253="","",F253-TODAY())</f>
        <v/>
      </c>
      <c r="M253">
        <f>IF(F253="","",IF(L253&lt;0,"Expired",IF(L253&lt;=30,"⚠ Due in 30 Days",IF(L253&lt;=60,"Upcoming (60 Days)","Active"))))</f>
        <v/>
      </c>
      <c r="P253" s="3">
        <f>IF(G253="Monthly",H253*12,IF(G253="Quarterly",H253*4,IF(G253="Annual",H253,IF(G253="Multi-Year",H253/2,H253))))</f>
        <v/>
      </c>
    </row>
    <row r="254">
      <c r="E254" s="2" t="n"/>
      <c r="F254" s="2" t="n"/>
      <c r="H254" s="3" t="n"/>
      <c r="K254" s="2">
        <f>IF(F254="","",F254-J254)</f>
        <v/>
      </c>
      <c r="L254">
        <f>IF(F254="","",F254-TODAY())</f>
        <v/>
      </c>
      <c r="M254">
        <f>IF(F254="","",IF(L254&lt;0,"Expired",IF(L254&lt;=30,"⚠ Due in 30 Days",IF(L254&lt;=60,"Upcoming (60 Days)","Active"))))</f>
        <v/>
      </c>
      <c r="P254" s="3">
        <f>IF(G254="Monthly",H254*12,IF(G254="Quarterly",H254*4,IF(G254="Annual",H254,IF(G254="Multi-Year",H254/2,H254))))</f>
        <v/>
      </c>
    </row>
    <row r="255">
      <c r="E255" s="2" t="n"/>
      <c r="F255" s="2" t="n"/>
      <c r="H255" s="3" t="n"/>
      <c r="K255" s="2">
        <f>IF(F255="","",F255-J255)</f>
        <v/>
      </c>
      <c r="L255">
        <f>IF(F255="","",F255-TODAY())</f>
        <v/>
      </c>
      <c r="M255">
        <f>IF(F255="","",IF(L255&lt;0,"Expired",IF(L255&lt;=30,"⚠ Due in 30 Days",IF(L255&lt;=60,"Upcoming (60 Days)","Active"))))</f>
        <v/>
      </c>
      <c r="P255" s="3">
        <f>IF(G255="Monthly",H255*12,IF(G255="Quarterly",H255*4,IF(G255="Annual",H255,IF(G255="Multi-Year",H255/2,H255))))</f>
        <v/>
      </c>
    </row>
    <row r="256">
      <c r="E256" s="2" t="n"/>
      <c r="F256" s="2" t="n"/>
      <c r="H256" s="3" t="n"/>
      <c r="K256" s="2">
        <f>IF(F256="","",F256-J256)</f>
        <v/>
      </c>
      <c r="L256">
        <f>IF(F256="","",F256-TODAY())</f>
        <v/>
      </c>
      <c r="M256">
        <f>IF(F256="","",IF(L256&lt;0,"Expired",IF(L256&lt;=30,"⚠ Due in 30 Days",IF(L256&lt;=60,"Upcoming (60 Days)","Active"))))</f>
        <v/>
      </c>
      <c r="P256" s="3">
        <f>IF(G256="Monthly",H256*12,IF(G256="Quarterly",H256*4,IF(G256="Annual",H256,IF(G256="Multi-Year",H256/2,H256))))</f>
        <v/>
      </c>
    </row>
    <row r="257">
      <c r="E257" s="2" t="n"/>
      <c r="F257" s="2" t="n"/>
      <c r="H257" s="3" t="n"/>
      <c r="K257" s="2">
        <f>IF(F257="","",F257-J257)</f>
        <v/>
      </c>
      <c r="L257">
        <f>IF(F257="","",F257-TODAY())</f>
        <v/>
      </c>
      <c r="M257">
        <f>IF(F257="","",IF(L257&lt;0,"Expired",IF(L257&lt;=30,"⚠ Due in 30 Days",IF(L257&lt;=60,"Upcoming (60 Days)","Active"))))</f>
        <v/>
      </c>
      <c r="P257" s="3">
        <f>IF(G257="Monthly",H257*12,IF(G257="Quarterly",H257*4,IF(G257="Annual",H257,IF(G257="Multi-Year",H257/2,H257))))</f>
        <v/>
      </c>
    </row>
    <row r="258">
      <c r="E258" s="2" t="n"/>
      <c r="F258" s="2" t="n"/>
      <c r="H258" s="3" t="n"/>
      <c r="K258" s="2">
        <f>IF(F258="","",F258-J258)</f>
        <v/>
      </c>
      <c r="L258">
        <f>IF(F258="","",F258-TODAY())</f>
        <v/>
      </c>
      <c r="M258">
        <f>IF(F258="","",IF(L258&lt;0,"Expired",IF(L258&lt;=30,"⚠ Due in 30 Days",IF(L258&lt;=60,"Upcoming (60 Days)","Active"))))</f>
        <v/>
      </c>
      <c r="P258" s="3">
        <f>IF(G258="Monthly",H258*12,IF(G258="Quarterly",H258*4,IF(G258="Annual",H258,IF(G258="Multi-Year",H258/2,H258))))</f>
        <v/>
      </c>
    </row>
    <row r="259">
      <c r="E259" s="2" t="n"/>
      <c r="F259" s="2" t="n"/>
      <c r="H259" s="3" t="n"/>
      <c r="K259" s="2">
        <f>IF(F259="","",F259-J259)</f>
        <v/>
      </c>
      <c r="L259">
        <f>IF(F259="","",F259-TODAY())</f>
        <v/>
      </c>
      <c r="M259">
        <f>IF(F259="","",IF(L259&lt;0,"Expired",IF(L259&lt;=30,"⚠ Due in 30 Days",IF(L259&lt;=60,"Upcoming (60 Days)","Active"))))</f>
        <v/>
      </c>
      <c r="P259" s="3">
        <f>IF(G259="Monthly",H259*12,IF(G259="Quarterly",H259*4,IF(G259="Annual",H259,IF(G259="Multi-Year",H259/2,H259))))</f>
        <v/>
      </c>
    </row>
    <row r="260">
      <c r="E260" s="2" t="n"/>
      <c r="F260" s="2" t="n"/>
      <c r="H260" s="3" t="n"/>
      <c r="K260" s="2">
        <f>IF(F260="","",F260-J260)</f>
        <v/>
      </c>
      <c r="L260">
        <f>IF(F260="","",F260-TODAY())</f>
        <v/>
      </c>
      <c r="M260">
        <f>IF(F260="","",IF(L260&lt;0,"Expired",IF(L260&lt;=30,"⚠ Due in 30 Days",IF(L260&lt;=60,"Upcoming (60 Days)","Active"))))</f>
        <v/>
      </c>
      <c r="P260" s="3">
        <f>IF(G260="Monthly",H260*12,IF(G260="Quarterly",H260*4,IF(G260="Annual",H260,IF(G260="Multi-Year",H260/2,H260))))</f>
        <v/>
      </c>
    </row>
    <row r="261">
      <c r="E261" s="2" t="n"/>
      <c r="F261" s="2" t="n"/>
      <c r="H261" s="3" t="n"/>
      <c r="K261" s="2">
        <f>IF(F261="","",F261-J261)</f>
        <v/>
      </c>
      <c r="L261">
        <f>IF(F261="","",F261-TODAY())</f>
        <v/>
      </c>
      <c r="M261">
        <f>IF(F261="","",IF(L261&lt;0,"Expired",IF(L261&lt;=30,"⚠ Due in 30 Days",IF(L261&lt;=60,"Upcoming (60 Days)","Active"))))</f>
        <v/>
      </c>
      <c r="P261" s="3">
        <f>IF(G261="Monthly",H261*12,IF(G261="Quarterly",H261*4,IF(G261="Annual",H261,IF(G261="Multi-Year",H261/2,H261))))</f>
        <v/>
      </c>
    </row>
    <row r="262">
      <c r="E262" s="2" t="n"/>
      <c r="F262" s="2" t="n"/>
      <c r="H262" s="3" t="n"/>
      <c r="K262" s="2">
        <f>IF(F262="","",F262-J262)</f>
        <v/>
      </c>
      <c r="L262">
        <f>IF(F262="","",F262-TODAY())</f>
        <v/>
      </c>
      <c r="M262">
        <f>IF(F262="","",IF(L262&lt;0,"Expired",IF(L262&lt;=30,"⚠ Due in 30 Days",IF(L262&lt;=60,"Upcoming (60 Days)","Active"))))</f>
        <v/>
      </c>
      <c r="P262" s="3">
        <f>IF(G262="Monthly",H262*12,IF(G262="Quarterly",H262*4,IF(G262="Annual",H262,IF(G262="Multi-Year",H262/2,H262))))</f>
        <v/>
      </c>
    </row>
    <row r="263">
      <c r="E263" s="2" t="n"/>
      <c r="F263" s="2" t="n"/>
      <c r="H263" s="3" t="n"/>
      <c r="K263" s="2">
        <f>IF(F263="","",F263-J263)</f>
        <v/>
      </c>
      <c r="L263">
        <f>IF(F263="","",F263-TODAY())</f>
        <v/>
      </c>
      <c r="M263">
        <f>IF(F263="","",IF(L263&lt;0,"Expired",IF(L263&lt;=30,"⚠ Due in 30 Days",IF(L263&lt;=60,"Upcoming (60 Days)","Active"))))</f>
        <v/>
      </c>
      <c r="P263" s="3">
        <f>IF(G263="Monthly",H263*12,IF(G263="Quarterly",H263*4,IF(G263="Annual",H263,IF(G263="Multi-Year",H263/2,H263))))</f>
        <v/>
      </c>
    </row>
    <row r="264">
      <c r="E264" s="2" t="n"/>
      <c r="F264" s="2" t="n"/>
      <c r="H264" s="3" t="n"/>
      <c r="K264" s="2">
        <f>IF(F264="","",F264-J264)</f>
        <v/>
      </c>
      <c r="L264">
        <f>IF(F264="","",F264-TODAY())</f>
        <v/>
      </c>
      <c r="M264">
        <f>IF(F264="","",IF(L264&lt;0,"Expired",IF(L264&lt;=30,"⚠ Due in 30 Days",IF(L264&lt;=60,"Upcoming (60 Days)","Active"))))</f>
        <v/>
      </c>
      <c r="P264" s="3">
        <f>IF(G264="Monthly",H264*12,IF(G264="Quarterly",H264*4,IF(G264="Annual",H264,IF(G264="Multi-Year",H264/2,H264))))</f>
        <v/>
      </c>
    </row>
    <row r="265">
      <c r="E265" s="2" t="n"/>
      <c r="F265" s="2" t="n"/>
      <c r="H265" s="3" t="n"/>
      <c r="K265" s="2">
        <f>IF(F265="","",F265-J265)</f>
        <v/>
      </c>
      <c r="L265">
        <f>IF(F265="","",F265-TODAY())</f>
        <v/>
      </c>
      <c r="M265">
        <f>IF(F265="","",IF(L265&lt;0,"Expired",IF(L265&lt;=30,"⚠ Due in 30 Days",IF(L265&lt;=60,"Upcoming (60 Days)","Active"))))</f>
        <v/>
      </c>
      <c r="P265" s="3">
        <f>IF(G265="Monthly",H265*12,IF(G265="Quarterly",H265*4,IF(G265="Annual",H265,IF(G265="Multi-Year",H265/2,H265))))</f>
        <v/>
      </c>
    </row>
    <row r="266">
      <c r="E266" s="2" t="n"/>
      <c r="F266" s="2" t="n"/>
      <c r="H266" s="3" t="n"/>
      <c r="K266" s="2">
        <f>IF(F266="","",F266-J266)</f>
        <v/>
      </c>
      <c r="L266">
        <f>IF(F266="","",F266-TODAY())</f>
        <v/>
      </c>
      <c r="M266">
        <f>IF(F266="","",IF(L266&lt;0,"Expired",IF(L266&lt;=30,"⚠ Due in 30 Days",IF(L266&lt;=60,"Upcoming (60 Days)","Active"))))</f>
        <v/>
      </c>
      <c r="P266" s="3">
        <f>IF(G266="Monthly",H266*12,IF(G266="Quarterly",H266*4,IF(G266="Annual",H266,IF(G266="Multi-Year",H266/2,H266))))</f>
        <v/>
      </c>
    </row>
    <row r="267">
      <c r="E267" s="2" t="n"/>
      <c r="F267" s="2" t="n"/>
      <c r="H267" s="3" t="n"/>
      <c r="K267" s="2">
        <f>IF(F267="","",F267-J267)</f>
        <v/>
      </c>
      <c r="L267">
        <f>IF(F267="","",F267-TODAY())</f>
        <v/>
      </c>
      <c r="M267">
        <f>IF(F267="","",IF(L267&lt;0,"Expired",IF(L267&lt;=30,"⚠ Due in 30 Days",IF(L267&lt;=60,"Upcoming (60 Days)","Active"))))</f>
        <v/>
      </c>
      <c r="P267" s="3">
        <f>IF(G267="Monthly",H267*12,IF(G267="Quarterly",H267*4,IF(G267="Annual",H267,IF(G267="Multi-Year",H267/2,H267))))</f>
        <v/>
      </c>
    </row>
    <row r="268">
      <c r="E268" s="2" t="n"/>
      <c r="F268" s="2" t="n"/>
      <c r="H268" s="3" t="n"/>
      <c r="K268" s="2">
        <f>IF(F268="","",F268-J268)</f>
        <v/>
      </c>
      <c r="L268">
        <f>IF(F268="","",F268-TODAY())</f>
        <v/>
      </c>
      <c r="M268">
        <f>IF(F268="","",IF(L268&lt;0,"Expired",IF(L268&lt;=30,"⚠ Due in 30 Days",IF(L268&lt;=60,"Upcoming (60 Days)","Active"))))</f>
        <v/>
      </c>
      <c r="P268" s="3">
        <f>IF(G268="Monthly",H268*12,IF(G268="Quarterly",H268*4,IF(G268="Annual",H268,IF(G268="Multi-Year",H268/2,H268))))</f>
        <v/>
      </c>
    </row>
    <row r="269">
      <c r="E269" s="2" t="n"/>
      <c r="F269" s="2" t="n"/>
      <c r="H269" s="3" t="n"/>
      <c r="K269" s="2">
        <f>IF(F269="","",F269-J269)</f>
        <v/>
      </c>
      <c r="L269">
        <f>IF(F269="","",F269-TODAY())</f>
        <v/>
      </c>
      <c r="M269">
        <f>IF(F269="","",IF(L269&lt;0,"Expired",IF(L269&lt;=30,"⚠ Due in 30 Days",IF(L269&lt;=60,"Upcoming (60 Days)","Active"))))</f>
        <v/>
      </c>
      <c r="P269" s="3">
        <f>IF(G269="Monthly",H269*12,IF(G269="Quarterly",H269*4,IF(G269="Annual",H269,IF(G269="Multi-Year",H269/2,H269))))</f>
        <v/>
      </c>
    </row>
    <row r="270">
      <c r="E270" s="2" t="n"/>
      <c r="F270" s="2" t="n"/>
      <c r="H270" s="3" t="n"/>
      <c r="K270" s="2">
        <f>IF(F270="","",F270-J270)</f>
        <v/>
      </c>
      <c r="L270">
        <f>IF(F270="","",F270-TODAY())</f>
        <v/>
      </c>
      <c r="M270">
        <f>IF(F270="","",IF(L270&lt;0,"Expired",IF(L270&lt;=30,"⚠ Due in 30 Days",IF(L270&lt;=60,"Upcoming (60 Days)","Active"))))</f>
        <v/>
      </c>
      <c r="P270" s="3">
        <f>IF(G270="Monthly",H270*12,IF(G270="Quarterly",H270*4,IF(G270="Annual",H270,IF(G270="Multi-Year",H270/2,H270))))</f>
        <v/>
      </c>
    </row>
    <row r="271">
      <c r="E271" s="2" t="n"/>
      <c r="F271" s="2" t="n"/>
      <c r="H271" s="3" t="n"/>
      <c r="K271" s="2">
        <f>IF(F271="","",F271-J271)</f>
        <v/>
      </c>
      <c r="L271">
        <f>IF(F271="","",F271-TODAY())</f>
        <v/>
      </c>
      <c r="M271">
        <f>IF(F271="","",IF(L271&lt;0,"Expired",IF(L271&lt;=30,"⚠ Due in 30 Days",IF(L271&lt;=60,"Upcoming (60 Days)","Active"))))</f>
        <v/>
      </c>
      <c r="P271" s="3">
        <f>IF(G271="Monthly",H271*12,IF(G271="Quarterly",H271*4,IF(G271="Annual",H271,IF(G271="Multi-Year",H271/2,H271))))</f>
        <v/>
      </c>
    </row>
    <row r="272">
      <c r="E272" s="2" t="n"/>
      <c r="F272" s="2" t="n"/>
      <c r="H272" s="3" t="n"/>
      <c r="K272" s="2">
        <f>IF(F272="","",F272-J272)</f>
        <v/>
      </c>
      <c r="L272">
        <f>IF(F272="","",F272-TODAY())</f>
        <v/>
      </c>
      <c r="M272">
        <f>IF(F272="","",IF(L272&lt;0,"Expired",IF(L272&lt;=30,"⚠ Due in 30 Days",IF(L272&lt;=60,"Upcoming (60 Days)","Active"))))</f>
        <v/>
      </c>
      <c r="P272" s="3">
        <f>IF(G272="Monthly",H272*12,IF(G272="Quarterly",H272*4,IF(G272="Annual",H272,IF(G272="Multi-Year",H272/2,H272))))</f>
        <v/>
      </c>
    </row>
    <row r="273">
      <c r="E273" s="2" t="n"/>
      <c r="F273" s="2" t="n"/>
      <c r="H273" s="3" t="n"/>
      <c r="K273" s="2">
        <f>IF(F273="","",F273-J273)</f>
        <v/>
      </c>
      <c r="L273">
        <f>IF(F273="","",F273-TODAY())</f>
        <v/>
      </c>
      <c r="M273">
        <f>IF(F273="","",IF(L273&lt;0,"Expired",IF(L273&lt;=30,"⚠ Due in 30 Days",IF(L273&lt;=60,"Upcoming (60 Days)","Active"))))</f>
        <v/>
      </c>
      <c r="P273" s="3">
        <f>IF(G273="Monthly",H273*12,IF(G273="Quarterly",H273*4,IF(G273="Annual",H273,IF(G273="Multi-Year",H273/2,H273))))</f>
        <v/>
      </c>
    </row>
    <row r="274">
      <c r="E274" s="2" t="n"/>
      <c r="F274" s="2" t="n"/>
      <c r="H274" s="3" t="n"/>
      <c r="K274" s="2">
        <f>IF(F274="","",F274-J274)</f>
        <v/>
      </c>
      <c r="L274">
        <f>IF(F274="","",F274-TODAY())</f>
        <v/>
      </c>
      <c r="M274">
        <f>IF(F274="","",IF(L274&lt;0,"Expired",IF(L274&lt;=30,"⚠ Due in 30 Days",IF(L274&lt;=60,"Upcoming (60 Days)","Active"))))</f>
        <v/>
      </c>
      <c r="P274" s="3">
        <f>IF(G274="Monthly",H274*12,IF(G274="Quarterly",H274*4,IF(G274="Annual",H274,IF(G274="Multi-Year",H274/2,H274))))</f>
        <v/>
      </c>
    </row>
    <row r="275">
      <c r="E275" s="2" t="n"/>
      <c r="F275" s="2" t="n"/>
      <c r="H275" s="3" t="n"/>
      <c r="K275" s="2">
        <f>IF(F275="","",F275-J275)</f>
        <v/>
      </c>
      <c r="L275">
        <f>IF(F275="","",F275-TODAY())</f>
        <v/>
      </c>
      <c r="M275">
        <f>IF(F275="","",IF(L275&lt;0,"Expired",IF(L275&lt;=30,"⚠ Due in 30 Days",IF(L275&lt;=60,"Upcoming (60 Days)","Active"))))</f>
        <v/>
      </c>
      <c r="P275" s="3">
        <f>IF(G275="Monthly",H275*12,IF(G275="Quarterly",H275*4,IF(G275="Annual",H275,IF(G275="Multi-Year",H275/2,H275))))</f>
        <v/>
      </c>
    </row>
    <row r="276">
      <c r="E276" s="2" t="n"/>
      <c r="F276" s="2" t="n"/>
      <c r="H276" s="3" t="n"/>
      <c r="K276" s="2">
        <f>IF(F276="","",F276-J276)</f>
        <v/>
      </c>
      <c r="L276">
        <f>IF(F276="","",F276-TODAY())</f>
        <v/>
      </c>
      <c r="M276">
        <f>IF(F276="","",IF(L276&lt;0,"Expired",IF(L276&lt;=30,"⚠ Due in 30 Days",IF(L276&lt;=60,"Upcoming (60 Days)","Active"))))</f>
        <v/>
      </c>
      <c r="P276" s="3">
        <f>IF(G276="Monthly",H276*12,IF(G276="Quarterly",H276*4,IF(G276="Annual",H276,IF(G276="Multi-Year",H276/2,H276))))</f>
        <v/>
      </c>
    </row>
    <row r="277">
      <c r="E277" s="2" t="n"/>
      <c r="F277" s="2" t="n"/>
      <c r="H277" s="3" t="n"/>
      <c r="K277" s="2">
        <f>IF(F277="","",F277-J277)</f>
        <v/>
      </c>
      <c r="L277">
        <f>IF(F277="","",F277-TODAY())</f>
        <v/>
      </c>
      <c r="M277">
        <f>IF(F277="","",IF(L277&lt;0,"Expired",IF(L277&lt;=30,"⚠ Due in 30 Days",IF(L277&lt;=60,"Upcoming (60 Days)","Active"))))</f>
        <v/>
      </c>
      <c r="P277" s="3">
        <f>IF(G277="Monthly",H277*12,IF(G277="Quarterly",H277*4,IF(G277="Annual",H277,IF(G277="Multi-Year",H277/2,H277))))</f>
        <v/>
      </c>
    </row>
    <row r="278">
      <c r="E278" s="2" t="n"/>
      <c r="F278" s="2" t="n"/>
      <c r="H278" s="3" t="n"/>
      <c r="K278" s="2">
        <f>IF(F278="","",F278-J278)</f>
        <v/>
      </c>
      <c r="L278">
        <f>IF(F278="","",F278-TODAY())</f>
        <v/>
      </c>
      <c r="M278">
        <f>IF(F278="","",IF(L278&lt;0,"Expired",IF(L278&lt;=30,"⚠ Due in 30 Days",IF(L278&lt;=60,"Upcoming (60 Days)","Active"))))</f>
        <v/>
      </c>
      <c r="P278" s="3">
        <f>IF(G278="Monthly",H278*12,IF(G278="Quarterly",H278*4,IF(G278="Annual",H278,IF(G278="Multi-Year",H278/2,H278))))</f>
        <v/>
      </c>
    </row>
    <row r="279">
      <c r="E279" s="2" t="n"/>
      <c r="F279" s="2" t="n"/>
      <c r="H279" s="3" t="n"/>
      <c r="K279" s="2">
        <f>IF(F279="","",F279-J279)</f>
        <v/>
      </c>
      <c r="L279">
        <f>IF(F279="","",F279-TODAY())</f>
        <v/>
      </c>
      <c r="M279">
        <f>IF(F279="","",IF(L279&lt;0,"Expired",IF(L279&lt;=30,"⚠ Due in 30 Days",IF(L279&lt;=60,"Upcoming (60 Days)","Active"))))</f>
        <v/>
      </c>
      <c r="P279" s="3">
        <f>IF(G279="Monthly",H279*12,IF(G279="Quarterly",H279*4,IF(G279="Annual",H279,IF(G279="Multi-Year",H279/2,H279))))</f>
        <v/>
      </c>
    </row>
    <row r="280">
      <c r="E280" s="2" t="n"/>
      <c r="F280" s="2" t="n"/>
      <c r="H280" s="3" t="n"/>
      <c r="K280" s="2">
        <f>IF(F280="","",F280-J280)</f>
        <v/>
      </c>
      <c r="L280">
        <f>IF(F280="","",F280-TODAY())</f>
        <v/>
      </c>
      <c r="M280">
        <f>IF(F280="","",IF(L280&lt;0,"Expired",IF(L280&lt;=30,"⚠ Due in 30 Days",IF(L280&lt;=60,"Upcoming (60 Days)","Active"))))</f>
        <v/>
      </c>
      <c r="P280" s="3">
        <f>IF(G280="Monthly",H280*12,IF(G280="Quarterly",H280*4,IF(G280="Annual",H280,IF(G280="Multi-Year",H280/2,H280))))</f>
        <v/>
      </c>
    </row>
    <row r="281">
      <c r="E281" s="2" t="n"/>
      <c r="F281" s="2" t="n"/>
      <c r="H281" s="3" t="n"/>
      <c r="K281" s="2">
        <f>IF(F281="","",F281-J281)</f>
        <v/>
      </c>
      <c r="L281">
        <f>IF(F281="","",F281-TODAY())</f>
        <v/>
      </c>
      <c r="M281">
        <f>IF(F281="","",IF(L281&lt;0,"Expired",IF(L281&lt;=30,"⚠ Due in 30 Days",IF(L281&lt;=60,"Upcoming (60 Days)","Active"))))</f>
        <v/>
      </c>
      <c r="P281" s="3">
        <f>IF(G281="Monthly",H281*12,IF(G281="Quarterly",H281*4,IF(G281="Annual",H281,IF(G281="Multi-Year",H281/2,H281))))</f>
        <v/>
      </c>
    </row>
    <row r="282">
      <c r="E282" s="2" t="n"/>
      <c r="F282" s="2" t="n"/>
      <c r="H282" s="3" t="n"/>
      <c r="K282" s="2">
        <f>IF(F282="","",F282-J282)</f>
        <v/>
      </c>
      <c r="L282">
        <f>IF(F282="","",F282-TODAY())</f>
        <v/>
      </c>
      <c r="M282">
        <f>IF(F282="","",IF(L282&lt;0,"Expired",IF(L282&lt;=30,"⚠ Due in 30 Days",IF(L282&lt;=60,"Upcoming (60 Days)","Active"))))</f>
        <v/>
      </c>
      <c r="P282" s="3">
        <f>IF(G282="Monthly",H282*12,IF(G282="Quarterly",H282*4,IF(G282="Annual",H282,IF(G282="Multi-Year",H282/2,H282))))</f>
        <v/>
      </c>
    </row>
    <row r="283">
      <c r="E283" s="2" t="n"/>
      <c r="F283" s="2" t="n"/>
      <c r="H283" s="3" t="n"/>
      <c r="K283" s="2">
        <f>IF(F283="","",F283-J283)</f>
        <v/>
      </c>
      <c r="L283">
        <f>IF(F283="","",F283-TODAY())</f>
        <v/>
      </c>
      <c r="M283">
        <f>IF(F283="","",IF(L283&lt;0,"Expired",IF(L283&lt;=30,"⚠ Due in 30 Days",IF(L283&lt;=60,"Upcoming (60 Days)","Active"))))</f>
        <v/>
      </c>
      <c r="P283" s="3">
        <f>IF(G283="Monthly",H283*12,IF(G283="Quarterly",H283*4,IF(G283="Annual",H283,IF(G283="Multi-Year",H283/2,H283))))</f>
        <v/>
      </c>
    </row>
    <row r="284">
      <c r="E284" s="2" t="n"/>
      <c r="F284" s="2" t="n"/>
      <c r="H284" s="3" t="n"/>
      <c r="K284" s="2">
        <f>IF(F284="","",F284-J284)</f>
        <v/>
      </c>
      <c r="L284">
        <f>IF(F284="","",F284-TODAY())</f>
        <v/>
      </c>
      <c r="M284">
        <f>IF(F284="","",IF(L284&lt;0,"Expired",IF(L284&lt;=30,"⚠ Due in 30 Days",IF(L284&lt;=60,"Upcoming (60 Days)","Active"))))</f>
        <v/>
      </c>
      <c r="P284" s="3">
        <f>IF(G284="Monthly",H284*12,IF(G284="Quarterly",H284*4,IF(G284="Annual",H284,IF(G284="Multi-Year",H284/2,H284))))</f>
        <v/>
      </c>
    </row>
    <row r="285">
      <c r="E285" s="2" t="n"/>
      <c r="F285" s="2" t="n"/>
      <c r="H285" s="3" t="n"/>
      <c r="K285" s="2">
        <f>IF(F285="","",F285-J285)</f>
        <v/>
      </c>
      <c r="L285">
        <f>IF(F285="","",F285-TODAY())</f>
        <v/>
      </c>
      <c r="M285">
        <f>IF(F285="","",IF(L285&lt;0,"Expired",IF(L285&lt;=30,"⚠ Due in 30 Days",IF(L285&lt;=60,"Upcoming (60 Days)","Active"))))</f>
        <v/>
      </c>
      <c r="P285" s="3">
        <f>IF(G285="Monthly",H285*12,IF(G285="Quarterly",H285*4,IF(G285="Annual",H285,IF(G285="Multi-Year",H285/2,H285))))</f>
        <v/>
      </c>
    </row>
    <row r="286">
      <c r="E286" s="2" t="n"/>
      <c r="F286" s="2" t="n"/>
      <c r="H286" s="3" t="n"/>
      <c r="K286" s="2">
        <f>IF(F286="","",F286-J286)</f>
        <v/>
      </c>
      <c r="L286">
        <f>IF(F286="","",F286-TODAY())</f>
        <v/>
      </c>
      <c r="M286">
        <f>IF(F286="","",IF(L286&lt;0,"Expired",IF(L286&lt;=30,"⚠ Due in 30 Days",IF(L286&lt;=60,"Upcoming (60 Days)","Active"))))</f>
        <v/>
      </c>
      <c r="P286" s="3">
        <f>IF(G286="Monthly",H286*12,IF(G286="Quarterly",H286*4,IF(G286="Annual",H286,IF(G286="Multi-Year",H286/2,H286))))</f>
        <v/>
      </c>
    </row>
    <row r="287">
      <c r="E287" s="2" t="n"/>
      <c r="F287" s="2" t="n"/>
      <c r="H287" s="3" t="n"/>
      <c r="K287" s="2">
        <f>IF(F287="","",F287-J287)</f>
        <v/>
      </c>
      <c r="L287">
        <f>IF(F287="","",F287-TODAY())</f>
        <v/>
      </c>
      <c r="M287">
        <f>IF(F287="","",IF(L287&lt;0,"Expired",IF(L287&lt;=30,"⚠ Due in 30 Days",IF(L287&lt;=60,"Upcoming (60 Days)","Active"))))</f>
        <v/>
      </c>
      <c r="P287" s="3">
        <f>IF(G287="Monthly",H287*12,IF(G287="Quarterly",H287*4,IF(G287="Annual",H287,IF(G287="Multi-Year",H287/2,H287))))</f>
        <v/>
      </c>
    </row>
    <row r="288">
      <c r="E288" s="2" t="n"/>
      <c r="F288" s="2" t="n"/>
      <c r="H288" s="3" t="n"/>
      <c r="K288" s="2">
        <f>IF(F288="","",F288-J288)</f>
        <v/>
      </c>
      <c r="L288">
        <f>IF(F288="","",F288-TODAY())</f>
        <v/>
      </c>
      <c r="M288">
        <f>IF(F288="","",IF(L288&lt;0,"Expired",IF(L288&lt;=30,"⚠ Due in 30 Days",IF(L288&lt;=60,"Upcoming (60 Days)","Active"))))</f>
        <v/>
      </c>
      <c r="P288" s="3">
        <f>IF(G288="Monthly",H288*12,IF(G288="Quarterly",H288*4,IF(G288="Annual",H288,IF(G288="Multi-Year",H288/2,H288))))</f>
        <v/>
      </c>
    </row>
    <row r="289">
      <c r="E289" s="2" t="n"/>
      <c r="F289" s="2" t="n"/>
      <c r="H289" s="3" t="n"/>
      <c r="K289" s="2">
        <f>IF(F289="","",F289-J289)</f>
        <v/>
      </c>
      <c r="L289">
        <f>IF(F289="","",F289-TODAY())</f>
        <v/>
      </c>
      <c r="M289">
        <f>IF(F289="","",IF(L289&lt;0,"Expired",IF(L289&lt;=30,"⚠ Due in 30 Days",IF(L289&lt;=60,"Upcoming (60 Days)","Active"))))</f>
        <v/>
      </c>
      <c r="P289" s="3">
        <f>IF(G289="Monthly",H289*12,IF(G289="Quarterly",H289*4,IF(G289="Annual",H289,IF(G289="Multi-Year",H289/2,H289))))</f>
        <v/>
      </c>
    </row>
    <row r="290">
      <c r="E290" s="2" t="n"/>
      <c r="F290" s="2" t="n"/>
      <c r="H290" s="3" t="n"/>
      <c r="K290" s="2">
        <f>IF(F290="","",F290-J290)</f>
        <v/>
      </c>
      <c r="L290">
        <f>IF(F290="","",F290-TODAY())</f>
        <v/>
      </c>
      <c r="M290">
        <f>IF(F290="","",IF(L290&lt;0,"Expired",IF(L290&lt;=30,"⚠ Due in 30 Days",IF(L290&lt;=60,"Upcoming (60 Days)","Active"))))</f>
        <v/>
      </c>
      <c r="P290" s="3">
        <f>IF(G290="Monthly",H290*12,IF(G290="Quarterly",H290*4,IF(G290="Annual",H290,IF(G290="Multi-Year",H290/2,H290))))</f>
        <v/>
      </c>
    </row>
    <row r="291">
      <c r="E291" s="2" t="n"/>
      <c r="F291" s="2" t="n"/>
      <c r="H291" s="3" t="n"/>
      <c r="K291" s="2">
        <f>IF(F291="","",F291-J291)</f>
        <v/>
      </c>
      <c r="L291">
        <f>IF(F291="","",F291-TODAY())</f>
        <v/>
      </c>
      <c r="M291">
        <f>IF(F291="","",IF(L291&lt;0,"Expired",IF(L291&lt;=30,"⚠ Due in 30 Days",IF(L291&lt;=60,"Upcoming (60 Days)","Active"))))</f>
        <v/>
      </c>
      <c r="P291" s="3">
        <f>IF(G291="Monthly",H291*12,IF(G291="Quarterly",H291*4,IF(G291="Annual",H291,IF(G291="Multi-Year",H291/2,H291))))</f>
        <v/>
      </c>
    </row>
    <row r="292">
      <c r="E292" s="2" t="n"/>
      <c r="F292" s="2" t="n"/>
      <c r="H292" s="3" t="n"/>
      <c r="K292" s="2">
        <f>IF(F292="","",F292-J292)</f>
        <v/>
      </c>
      <c r="L292">
        <f>IF(F292="","",F292-TODAY())</f>
        <v/>
      </c>
      <c r="M292">
        <f>IF(F292="","",IF(L292&lt;0,"Expired",IF(L292&lt;=30,"⚠ Due in 30 Days",IF(L292&lt;=60,"Upcoming (60 Days)","Active"))))</f>
        <v/>
      </c>
      <c r="P292" s="3">
        <f>IF(G292="Monthly",H292*12,IF(G292="Quarterly",H292*4,IF(G292="Annual",H292,IF(G292="Multi-Year",H292/2,H292))))</f>
        <v/>
      </c>
    </row>
    <row r="293">
      <c r="E293" s="2" t="n"/>
      <c r="F293" s="2" t="n"/>
      <c r="H293" s="3" t="n"/>
      <c r="K293" s="2">
        <f>IF(F293="","",F293-J293)</f>
        <v/>
      </c>
      <c r="L293">
        <f>IF(F293="","",F293-TODAY())</f>
        <v/>
      </c>
      <c r="M293">
        <f>IF(F293="","",IF(L293&lt;0,"Expired",IF(L293&lt;=30,"⚠ Due in 30 Days",IF(L293&lt;=60,"Upcoming (60 Days)","Active"))))</f>
        <v/>
      </c>
      <c r="P293" s="3">
        <f>IF(G293="Monthly",H293*12,IF(G293="Quarterly",H293*4,IF(G293="Annual",H293,IF(G293="Multi-Year",H293/2,H293))))</f>
        <v/>
      </c>
    </row>
    <row r="294">
      <c r="E294" s="2" t="n"/>
      <c r="F294" s="2" t="n"/>
      <c r="H294" s="3" t="n"/>
      <c r="K294" s="2">
        <f>IF(F294="","",F294-J294)</f>
        <v/>
      </c>
      <c r="L294">
        <f>IF(F294="","",F294-TODAY())</f>
        <v/>
      </c>
      <c r="M294">
        <f>IF(F294="","",IF(L294&lt;0,"Expired",IF(L294&lt;=30,"⚠ Due in 30 Days",IF(L294&lt;=60,"Upcoming (60 Days)","Active"))))</f>
        <v/>
      </c>
      <c r="P294" s="3">
        <f>IF(G294="Monthly",H294*12,IF(G294="Quarterly",H294*4,IF(G294="Annual",H294,IF(G294="Multi-Year",H294/2,H294))))</f>
        <v/>
      </c>
    </row>
    <row r="295">
      <c r="E295" s="2" t="n"/>
      <c r="F295" s="2" t="n"/>
      <c r="H295" s="3" t="n"/>
      <c r="K295" s="2">
        <f>IF(F295="","",F295-J295)</f>
        <v/>
      </c>
      <c r="L295">
        <f>IF(F295="","",F295-TODAY())</f>
        <v/>
      </c>
      <c r="M295">
        <f>IF(F295="","",IF(L295&lt;0,"Expired",IF(L295&lt;=30,"⚠ Due in 30 Days",IF(L295&lt;=60,"Upcoming (60 Days)","Active"))))</f>
        <v/>
      </c>
      <c r="P295" s="3">
        <f>IF(G295="Monthly",H295*12,IF(G295="Quarterly",H295*4,IF(G295="Annual",H295,IF(G295="Multi-Year",H295/2,H295))))</f>
        <v/>
      </c>
    </row>
    <row r="296">
      <c r="E296" s="2" t="n"/>
      <c r="F296" s="2" t="n"/>
      <c r="H296" s="3" t="n"/>
      <c r="K296" s="2">
        <f>IF(F296="","",F296-J296)</f>
        <v/>
      </c>
      <c r="L296">
        <f>IF(F296="","",F296-TODAY())</f>
        <v/>
      </c>
      <c r="M296">
        <f>IF(F296="","",IF(L296&lt;0,"Expired",IF(L296&lt;=30,"⚠ Due in 30 Days",IF(L296&lt;=60,"Upcoming (60 Days)","Active"))))</f>
        <v/>
      </c>
      <c r="P296" s="3">
        <f>IF(G296="Monthly",H296*12,IF(G296="Quarterly",H296*4,IF(G296="Annual",H296,IF(G296="Multi-Year",H296/2,H296))))</f>
        <v/>
      </c>
    </row>
    <row r="297">
      <c r="E297" s="2" t="n"/>
      <c r="F297" s="2" t="n"/>
      <c r="H297" s="3" t="n"/>
      <c r="K297" s="2">
        <f>IF(F297="","",F297-J297)</f>
        <v/>
      </c>
      <c r="L297">
        <f>IF(F297="","",F297-TODAY())</f>
        <v/>
      </c>
      <c r="M297">
        <f>IF(F297="","",IF(L297&lt;0,"Expired",IF(L297&lt;=30,"⚠ Due in 30 Days",IF(L297&lt;=60,"Upcoming (60 Days)","Active"))))</f>
        <v/>
      </c>
      <c r="P297" s="3">
        <f>IF(G297="Monthly",H297*12,IF(G297="Quarterly",H297*4,IF(G297="Annual",H297,IF(G297="Multi-Year",H297/2,H297))))</f>
        <v/>
      </c>
    </row>
    <row r="298">
      <c r="E298" s="2" t="n"/>
      <c r="F298" s="2" t="n"/>
      <c r="H298" s="3" t="n"/>
      <c r="K298" s="2">
        <f>IF(F298="","",F298-J298)</f>
        <v/>
      </c>
      <c r="L298">
        <f>IF(F298="","",F298-TODAY())</f>
        <v/>
      </c>
      <c r="M298">
        <f>IF(F298="","",IF(L298&lt;0,"Expired",IF(L298&lt;=30,"⚠ Due in 30 Days",IF(L298&lt;=60,"Upcoming (60 Days)","Active"))))</f>
        <v/>
      </c>
      <c r="P298" s="3">
        <f>IF(G298="Monthly",H298*12,IF(G298="Quarterly",H298*4,IF(G298="Annual",H298,IF(G298="Multi-Year",H298/2,H298))))</f>
        <v/>
      </c>
    </row>
    <row r="299">
      <c r="E299" s="2" t="n"/>
      <c r="F299" s="2" t="n"/>
      <c r="H299" s="3" t="n"/>
      <c r="K299" s="2">
        <f>IF(F299="","",F299-J299)</f>
        <v/>
      </c>
      <c r="L299">
        <f>IF(F299="","",F299-TODAY())</f>
        <v/>
      </c>
      <c r="M299">
        <f>IF(F299="","",IF(L299&lt;0,"Expired",IF(L299&lt;=30,"⚠ Due in 30 Days",IF(L299&lt;=60,"Upcoming (60 Days)","Active"))))</f>
        <v/>
      </c>
      <c r="P299" s="3">
        <f>IF(G299="Monthly",H299*12,IF(G299="Quarterly",H299*4,IF(G299="Annual",H299,IF(G299="Multi-Year",H299/2,H299))))</f>
        <v/>
      </c>
    </row>
    <row r="300">
      <c r="E300" s="2" t="n"/>
      <c r="F300" s="2" t="n"/>
      <c r="H300" s="3" t="n"/>
      <c r="K300" s="2">
        <f>IF(F300="","",F300-J300)</f>
        <v/>
      </c>
      <c r="L300">
        <f>IF(F300="","",F300-TODAY())</f>
        <v/>
      </c>
      <c r="M300">
        <f>IF(F300="","",IF(L300&lt;0,"Expired",IF(L300&lt;=30,"⚠ Due in 30 Days",IF(L300&lt;=60,"Upcoming (60 Days)","Active"))))</f>
        <v/>
      </c>
      <c r="P300" s="3">
        <f>IF(G300="Monthly",H300*12,IF(G300="Quarterly",H300*4,IF(G300="Annual",H300,IF(G300="Multi-Year",H300/2,H300))))</f>
        <v/>
      </c>
    </row>
    <row r="301">
      <c r="E301" s="2" t="n"/>
      <c r="F301" s="2" t="n"/>
      <c r="H301" s="3" t="n"/>
      <c r="K301" s="2">
        <f>IF(F301="","",F301-J301)</f>
        <v/>
      </c>
      <c r="L301">
        <f>IF(F301="","",F301-TODAY())</f>
        <v/>
      </c>
      <c r="M301">
        <f>IF(F301="","",IF(L301&lt;0,"Expired",IF(L301&lt;=30,"⚠ Due in 30 Days",IF(L301&lt;=60,"Upcoming (60 Days)","Active"))))</f>
        <v/>
      </c>
      <c r="P301" s="3">
        <f>IF(G301="Monthly",H301*12,IF(G301="Quarterly",H301*4,IF(G301="Annual",H301,IF(G301="Multi-Year",H301/2,H301))))</f>
        <v/>
      </c>
    </row>
    <row r="302">
      <c r="E302" s="2" t="n"/>
      <c r="F302" s="2" t="n"/>
      <c r="H302" s="3" t="n"/>
      <c r="K302" s="2">
        <f>IF(F302="","",F302-J302)</f>
        <v/>
      </c>
      <c r="L302">
        <f>IF(F302="","",F302-TODAY())</f>
        <v/>
      </c>
      <c r="M302">
        <f>IF(F302="","",IF(L302&lt;0,"Expired",IF(L302&lt;=30,"⚠ Due in 30 Days",IF(L302&lt;=60,"Upcoming (60 Days)","Active"))))</f>
        <v/>
      </c>
      <c r="P302" s="3">
        <f>IF(G302="Monthly",H302*12,IF(G302="Quarterly",H302*4,IF(G302="Annual",H302,IF(G302="Multi-Year",H302/2,H302))))</f>
        <v/>
      </c>
    </row>
    <row r="303">
      <c r="E303" s="2" t="n"/>
      <c r="F303" s="2" t="n"/>
      <c r="H303" s="3" t="n"/>
      <c r="K303" s="2">
        <f>IF(F303="","",F303-J303)</f>
        <v/>
      </c>
      <c r="L303">
        <f>IF(F303="","",F303-TODAY())</f>
        <v/>
      </c>
      <c r="M303">
        <f>IF(F303="","",IF(L303&lt;0,"Expired",IF(L303&lt;=30,"⚠ Due in 30 Days",IF(L303&lt;=60,"Upcoming (60 Days)","Active"))))</f>
        <v/>
      </c>
      <c r="P303" s="3">
        <f>IF(G303="Monthly",H303*12,IF(G303="Quarterly",H303*4,IF(G303="Annual",H303,IF(G303="Multi-Year",H303/2,H303))))</f>
        <v/>
      </c>
    </row>
    <row r="304">
      <c r="E304" s="2" t="n"/>
      <c r="F304" s="2" t="n"/>
      <c r="H304" s="3" t="n"/>
      <c r="K304" s="2">
        <f>IF(F304="","",F304-J304)</f>
        <v/>
      </c>
      <c r="L304">
        <f>IF(F304="","",F304-TODAY())</f>
        <v/>
      </c>
      <c r="M304">
        <f>IF(F304="","",IF(L304&lt;0,"Expired",IF(L304&lt;=30,"⚠ Due in 30 Days",IF(L304&lt;=60,"Upcoming (60 Days)","Active"))))</f>
        <v/>
      </c>
      <c r="P304" s="3">
        <f>IF(G304="Monthly",H304*12,IF(G304="Quarterly",H304*4,IF(G304="Annual",H304,IF(G304="Multi-Year",H304/2,H304))))</f>
        <v/>
      </c>
    </row>
    <row r="305">
      <c r="E305" s="2" t="n"/>
      <c r="F305" s="2" t="n"/>
      <c r="H305" s="3" t="n"/>
      <c r="K305" s="2">
        <f>IF(F305="","",F305-J305)</f>
        <v/>
      </c>
      <c r="L305">
        <f>IF(F305="","",F305-TODAY())</f>
        <v/>
      </c>
      <c r="M305">
        <f>IF(F305="","",IF(L305&lt;0,"Expired",IF(L305&lt;=30,"⚠ Due in 30 Days",IF(L305&lt;=60,"Upcoming (60 Days)","Active"))))</f>
        <v/>
      </c>
      <c r="P305" s="3">
        <f>IF(G305="Monthly",H305*12,IF(G305="Quarterly",H305*4,IF(G305="Annual",H305,IF(G305="Multi-Year",H305/2,H305))))</f>
        <v/>
      </c>
    </row>
    <row r="306">
      <c r="E306" s="2" t="n"/>
      <c r="F306" s="2" t="n"/>
      <c r="H306" s="3" t="n"/>
      <c r="K306" s="2">
        <f>IF(F306="","",F306-J306)</f>
        <v/>
      </c>
      <c r="L306">
        <f>IF(F306="","",F306-TODAY())</f>
        <v/>
      </c>
      <c r="M306">
        <f>IF(F306="","",IF(L306&lt;0,"Expired",IF(L306&lt;=30,"⚠ Due in 30 Days",IF(L306&lt;=60,"Upcoming (60 Days)","Active"))))</f>
        <v/>
      </c>
      <c r="P306" s="3">
        <f>IF(G306="Monthly",H306*12,IF(G306="Quarterly",H306*4,IF(G306="Annual",H306,IF(G306="Multi-Year",H306/2,H306))))</f>
        <v/>
      </c>
    </row>
    <row r="307">
      <c r="E307" s="2" t="n"/>
      <c r="F307" s="2" t="n"/>
      <c r="H307" s="3" t="n"/>
      <c r="K307" s="2">
        <f>IF(F307="","",F307-J307)</f>
        <v/>
      </c>
      <c r="L307">
        <f>IF(F307="","",F307-TODAY())</f>
        <v/>
      </c>
      <c r="M307">
        <f>IF(F307="","",IF(L307&lt;0,"Expired",IF(L307&lt;=30,"⚠ Due in 30 Days",IF(L307&lt;=60,"Upcoming (60 Days)","Active"))))</f>
        <v/>
      </c>
      <c r="P307" s="3">
        <f>IF(G307="Monthly",H307*12,IF(G307="Quarterly",H307*4,IF(G307="Annual",H307,IF(G307="Multi-Year",H307/2,H307))))</f>
        <v/>
      </c>
    </row>
    <row r="308">
      <c r="E308" s="2" t="n"/>
      <c r="F308" s="2" t="n"/>
      <c r="H308" s="3" t="n"/>
      <c r="K308" s="2">
        <f>IF(F308="","",F308-J308)</f>
        <v/>
      </c>
      <c r="L308">
        <f>IF(F308="","",F308-TODAY())</f>
        <v/>
      </c>
      <c r="M308">
        <f>IF(F308="","",IF(L308&lt;0,"Expired",IF(L308&lt;=30,"⚠ Due in 30 Days",IF(L308&lt;=60,"Upcoming (60 Days)","Active"))))</f>
        <v/>
      </c>
      <c r="P308" s="3">
        <f>IF(G308="Monthly",H308*12,IF(G308="Quarterly",H308*4,IF(G308="Annual",H308,IF(G308="Multi-Year",H308/2,H308))))</f>
        <v/>
      </c>
    </row>
    <row r="309">
      <c r="E309" s="2" t="n"/>
      <c r="F309" s="2" t="n"/>
      <c r="H309" s="3" t="n"/>
      <c r="K309" s="2">
        <f>IF(F309="","",F309-J309)</f>
        <v/>
      </c>
      <c r="L309">
        <f>IF(F309="","",F309-TODAY())</f>
        <v/>
      </c>
      <c r="M309">
        <f>IF(F309="","",IF(L309&lt;0,"Expired",IF(L309&lt;=30,"⚠ Due in 30 Days",IF(L309&lt;=60,"Upcoming (60 Days)","Active"))))</f>
        <v/>
      </c>
      <c r="P309" s="3">
        <f>IF(G309="Monthly",H309*12,IF(G309="Quarterly",H309*4,IF(G309="Annual",H309,IF(G309="Multi-Year",H309/2,H309))))</f>
        <v/>
      </c>
    </row>
    <row r="310">
      <c r="E310" s="2" t="n"/>
      <c r="F310" s="2" t="n"/>
      <c r="H310" s="3" t="n"/>
      <c r="K310" s="2">
        <f>IF(F310="","",F310-J310)</f>
        <v/>
      </c>
      <c r="L310">
        <f>IF(F310="","",F310-TODAY())</f>
        <v/>
      </c>
      <c r="M310">
        <f>IF(F310="","",IF(L310&lt;0,"Expired",IF(L310&lt;=30,"⚠ Due in 30 Days",IF(L310&lt;=60,"Upcoming (60 Days)","Active"))))</f>
        <v/>
      </c>
      <c r="P310" s="3">
        <f>IF(G310="Monthly",H310*12,IF(G310="Quarterly",H310*4,IF(G310="Annual",H310,IF(G310="Multi-Year",H310/2,H310))))</f>
        <v/>
      </c>
    </row>
    <row r="311">
      <c r="E311" s="2" t="n"/>
      <c r="F311" s="2" t="n"/>
      <c r="H311" s="3" t="n"/>
      <c r="K311" s="2">
        <f>IF(F311="","",F311-J311)</f>
        <v/>
      </c>
      <c r="L311">
        <f>IF(F311="","",F311-TODAY())</f>
        <v/>
      </c>
      <c r="M311">
        <f>IF(F311="","",IF(L311&lt;0,"Expired",IF(L311&lt;=30,"⚠ Due in 30 Days",IF(L311&lt;=60,"Upcoming (60 Days)","Active"))))</f>
        <v/>
      </c>
      <c r="P311" s="3">
        <f>IF(G311="Monthly",H311*12,IF(G311="Quarterly",H311*4,IF(G311="Annual",H311,IF(G311="Multi-Year",H311/2,H311))))</f>
        <v/>
      </c>
    </row>
    <row r="312">
      <c r="E312" s="2" t="n"/>
      <c r="F312" s="2" t="n"/>
      <c r="H312" s="3" t="n"/>
      <c r="K312" s="2">
        <f>IF(F312="","",F312-J312)</f>
        <v/>
      </c>
      <c r="L312">
        <f>IF(F312="","",F312-TODAY())</f>
        <v/>
      </c>
      <c r="M312">
        <f>IF(F312="","",IF(L312&lt;0,"Expired",IF(L312&lt;=30,"⚠ Due in 30 Days",IF(L312&lt;=60,"Upcoming (60 Days)","Active"))))</f>
        <v/>
      </c>
      <c r="P312" s="3">
        <f>IF(G312="Monthly",H312*12,IF(G312="Quarterly",H312*4,IF(G312="Annual",H312,IF(G312="Multi-Year",H312/2,H312))))</f>
        <v/>
      </c>
    </row>
    <row r="313">
      <c r="E313" s="2" t="n"/>
      <c r="F313" s="2" t="n"/>
      <c r="H313" s="3" t="n"/>
      <c r="K313" s="2">
        <f>IF(F313="","",F313-J313)</f>
        <v/>
      </c>
      <c r="L313">
        <f>IF(F313="","",F313-TODAY())</f>
        <v/>
      </c>
      <c r="M313">
        <f>IF(F313="","",IF(L313&lt;0,"Expired",IF(L313&lt;=30,"⚠ Due in 30 Days",IF(L313&lt;=60,"Upcoming (60 Days)","Active"))))</f>
        <v/>
      </c>
      <c r="P313" s="3">
        <f>IF(G313="Monthly",H313*12,IF(G313="Quarterly",H313*4,IF(G313="Annual",H313,IF(G313="Multi-Year",H313/2,H313))))</f>
        <v/>
      </c>
    </row>
    <row r="314">
      <c r="E314" s="2" t="n"/>
      <c r="F314" s="2" t="n"/>
      <c r="H314" s="3" t="n"/>
      <c r="K314" s="2">
        <f>IF(F314="","",F314-J314)</f>
        <v/>
      </c>
      <c r="L314">
        <f>IF(F314="","",F314-TODAY())</f>
        <v/>
      </c>
      <c r="M314">
        <f>IF(F314="","",IF(L314&lt;0,"Expired",IF(L314&lt;=30,"⚠ Due in 30 Days",IF(L314&lt;=60,"Upcoming (60 Days)","Active"))))</f>
        <v/>
      </c>
      <c r="P314" s="3">
        <f>IF(G314="Monthly",H314*12,IF(G314="Quarterly",H314*4,IF(G314="Annual",H314,IF(G314="Multi-Year",H314/2,H314))))</f>
        <v/>
      </c>
    </row>
    <row r="315">
      <c r="E315" s="2" t="n"/>
      <c r="F315" s="2" t="n"/>
      <c r="H315" s="3" t="n"/>
      <c r="K315" s="2">
        <f>IF(F315="","",F315-J315)</f>
        <v/>
      </c>
      <c r="L315">
        <f>IF(F315="","",F315-TODAY())</f>
        <v/>
      </c>
      <c r="M315">
        <f>IF(F315="","",IF(L315&lt;0,"Expired",IF(L315&lt;=30,"⚠ Due in 30 Days",IF(L315&lt;=60,"Upcoming (60 Days)","Active"))))</f>
        <v/>
      </c>
      <c r="P315" s="3">
        <f>IF(G315="Monthly",H315*12,IF(G315="Quarterly",H315*4,IF(G315="Annual",H315,IF(G315="Multi-Year",H315/2,H315))))</f>
        <v/>
      </c>
    </row>
    <row r="316">
      <c r="E316" s="2" t="n"/>
      <c r="F316" s="2" t="n"/>
      <c r="H316" s="3" t="n"/>
      <c r="K316" s="2">
        <f>IF(F316="","",F316-J316)</f>
        <v/>
      </c>
      <c r="L316">
        <f>IF(F316="","",F316-TODAY())</f>
        <v/>
      </c>
      <c r="M316">
        <f>IF(F316="","",IF(L316&lt;0,"Expired",IF(L316&lt;=30,"⚠ Due in 30 Days",IF(L316&lt;=60,"Upcoming (60 Days)","Active"))))</f>
        <v/>
      </c>
      <c r="P316" s="3">
        <f>IF(G316="Monthly",H316*12,IF(G316="Quarterly",H316*4,IF(G316="Annual",H316,IF(G316="Multi-Year",H316/2,H316))))</f>
        <v/>
      </c>
    </row>
    <row r="317">
      <c r="E317" s="2" t="n"/>
      <c r="F317" s="2" t="n"/>
      <c r="H317" s="3" t="n"/>
      <c r="K317" s="2">
        <f>IF(F317="","",F317-J317)</f>
        <v/>
      </c>
      <c r="L317">
        <f>IF(F317="","",F317-TODAY())</f>
        <v/>
      </c>
      <c r="M317">
        <f>IF(F317="","",IF(L317&lt;0,"Expired",IF(L317&lt;=30,"⚠ Due in 30 Days",IF(L317&lt;=60,"Upcoming (60 Days)","Active"))))</f>
        <v/>
      </c>
      <c r="P317" s="3">
        <f>IF(G317="Monthly",H317*12,IF(G317="Quarterly",H317*4,IF(G317="Annual",H317,IF(G317="Multi-Year",H317/2,H317))))</f>
        <v/>
      </c>
    </row>
    <row r="318">
      <c r="E318" s="2" t="n"/>
      <c r="F318" s="2" t="n"/>
      <c r="H318" s="3" t="n"/>
      <c r="K318" s="2">
        <f>IF(F318="","",F318-J318)</f>
        <v/>
      </c>
      <c r="L318">
        <f>IF(F318="","",F318-TODAY())</f>
        <v/>
      </c>
      <c r="M318">
        <f>IF(F318="","",IF(L318&lt;0,"Expired",IF(L318&lt;=30,"⚠ Due in 30 Days",IF(L318&lt;=60,"Upcoming (60 Days)","Active"))))</f>
        <v/>
      </c>
      <c r="P318" s="3">
        <f>IF(G318="Monthly",H318*12,IF(G318="Quarterly",H318*4,IF(G318="Annual",H318,IF(G318="Multi-Year",H318/2,H318))))</f>
        <v/>
      </c>
    </row>
    <row r="319">
      <c r="E319" s="2" t="n"/>
      <c r="F319" s="2" t="n"/>
      <c r="H319" s="3" t="n"/>
      <c r="K319" s="2">
        <f>IF(F319="","",F319-J319)</f>
        <v/>
      </c>
      <c r="L319">
        <f>IF(F319="","",F319-TODAY())</f>
        <v/>
      </c>
      <c r="M319">
        <f>IF(F319="","",IF(L319&lt;0,"Expired",IF(L319&lt;=30,"⚠ Due in 30 Days",IF(L319&lt;=60,"Upcoming (60 Days)","Active"))))</f>
        <v/>
      </c>
      <c r="P319" s="3">
        <f>IF(G319="Monthly",H319*12,IF(G319="Quarterly",H319*4,IF(G319="Annual",H319,IF(G319="Multi-Year",H319/2,H319))))</f>
        <v/>
      </c>
    </row>
    <row r="320">
      <c r="E320" s="2" t="n"/>
      <c r="F320" s="2" t="n"/>
      <c r="H320" s="3" t="n"/>
      <c r="K320" s="2">
        <f>IF(F320="","",F320-J320)</f>
        <v/>
      </c>
      <c r="L320">
        <f>IF(F320="","",F320-TODAY())</f>
        <v/>
      </c>
      <c r="M320">
        <f>IF(F320="","",IF(L320&lt;0,"Expired",IF(L320&lt;=30,"⚠ Due in 30 Days",IF(L320&lt;=60,"Upcoming (60 Days)","Active"))))</f>
        <v/>
      </c>
      <c r="P320" s="3">
        <f>IF(G320="Monthly",H320*12,IF(G320="Quarterly",H320*4,IF(G320="Annual",H320,IF(G320="Multi-Year",H320/2,H320))))</f>
        <v/>
      </c>
    </row>
    <row r="321">
      <c r="E321" s="2" t="n"/>
      <c r="F321" s="2" t="n"/>
      <c r="H321" s="3" t="n"/>
      <c r="K321" s="2">
        <f>IF(F321="","",F321-J321)</f>
        <v/>
      </c>
      <c r="L321">
        <f>IF(F321="","",F321-TODAY())</f>
        <v/>
      </c>
      <c r="M321">
        <f>IF(F321="","",IF(L321&lt;0,"Expired",IF(L321&lt;=30,"⚠ Due in 30 Days",IF(L321&lt;=60,"Upcoming (60 Days)","Active"))))</f>
        <v/>
      </c>
      <c r="P321" s="3">
        <f>IF(G321="Monthly",H321*12,IF(G321="Quarterly",H321*4,IF(G321="Annual",H321,IF(G321="Multi-Year",H321/2,H321))))</f>
        <v/>
      </c>
    </row>
    <row r="322">
      <c r="E322" s="2" t="n"/>
      <c r="F322" s="2" t="n"/>
      <c r="H322" s="3" t="n"/>
      <c r="K322" s="2">
        <f>IF(F322="","",F322-J322)</f>
        <v/>
      </c>
      <c r="L322">
        <f>IF(F322="","",F322-TODAY())</f>
        <v/>
      </c>
      <c r="M322">
        <f>IF(F322="","",IF(L322&lt;0,"Expired",IF(L322&lt;=30,"⚠ Due in 30 Days",IF(L322&lt;=60,"Upcoming (60 Days)","Active"))))</f>
        <v/>
      </c>
      <c r="P322" s="3">
        <f>IF(G322="Monthly",H322*12,IF(G322="Quarterly",H322*4,IF(G322="Annual",H322,IF(G322="Multi-Year",H322/2,H322))))</f>
        <v/>
      </c>
    </row>
    <row r="323">
      <c r="E323" s="2" t="n"/>
      <c r="F323" s="2" t="n"/>
      <c r="H323" s="3" t="n"/>
      <c r="K323" s="2">
        <f>IF(F323="","",F323-J323)</f>
        <v/>
      </c>
      <c r="L323">
        <f>IF(F323="","",F323-TODAY())</f>
        <v/>
      </c>
      <c r="M323">
        <f>IF(F323="","",IF(L323&lt;0,"Expired",IF(L323&lt;=30,"⚠ Due in 30 Days",IF(L323&lt;=60,"Upcoming (60 Days)","Active"))))</f>
        <v/>
      </c>
      <c r="P323" s="3">
        <f>IF(G323="Monthly",H323*12,IF(G323="Quarterly",H323*4,IF(G323="Annual",H323,IF(G323="Multi-Year",H323/2,H323))))</f>
        <v/>
      </c>
    </row>
    <row r="324">
      <c r="E324" s="2" t="n"/>
      <c r="F324" s="2" t="n"/>
      <c r="H324" s="3" t="n"/>
      <c r="K324" s="2">
        <f>IF(F324="","",F324-J324)</f>
        <v/>
      </c>
      <c r="L324">
        <f>IF(F324="","",F324-TODAY())</f>
        <v/>
      </c>
      <c r="M324">
        <f>IF(F324="","",IF(L324&lt;0,"Expired",IF(L324&lt;=30,"⚠ Due in 30 Days",IF(L324&lt;=60,"Upcoming (60 Days)","Active"))))</f>
        <v/>
      </c>
      <c r="P324" s="3">
        <f>IF(G324="Monthly",H324*12,IF(G324="Quarterly",H324*4,IF(G324="Annual",H324,IF(G324="Multi-Year",H324/2,H324))))</f>
        <v/>
      </c>
    </row>
    <row r="325">
      <c r="E325" s="2" t="n"/>
      <c r="F325" s="2" t="n"/>
      <c r="H325" s="3" t="n"/>
      <c r="K325" s="2">
        <f>IF(F325="","",F325-J325)</f>
        <v/>
      </c>
      <c r="L325">
        <f>IF(F325="","",F325-TODAY())</f>
        <v/>
      </c>
      <c r="M325">
        <f>IF(F325="","",IF(L325&lt;0,"Expired",IF(L325&lt;=30,"⚠ Due in 30 Days",IF(L325&lt;=60,"Upcoming (60 Days)","Active"))))</f>
        <v/>
      </c>
      <c r="P325" s="3">
        <f>IF(G325="Monthly",H325*12,IF(G325="Quarterly",H325*4,IF(G325="Annual",H325,IF(G325="Multi-Year",H325/2,H325))))</f>
        <v/>
      </c>
    </row>
    <row r="326">
      <c r="E326" s="2" t="n"/>
      <c r="F326" s="2" t="n"/>
      <c r="H326" s="3" t="n"/>
      <c r="K326" s="2">
        <f>IF(F326="","",F326-J326)</f>
        <v/>
      </c>
      <c r="L326">
        <f>IF(F326="","",F326-TODAY())</f>
        <v/>
      </c>
      <c r="M326">
        <f>IF(F326="","",IF(L326&lt;0,"Expired",IF(L326&lt;=30,"⚠ Due in 30 Days",IF(L326&lt;=60,"Upcoming (60 Days)","Active"))))</f>
        <v/>
      </c>
      <c r="P326" s="3">
        <f>IF(G326="Monthly",H326*12,IF(G326="Quarterly",H326*4,IF(G326="Annual",H326,IF(G326="Multi-Year",H326/2,H326))))</f>
        <v/>
      </c>
    </row>
    <row r="327">
      <c r="E327" s="2" t="n"/>
      <c r="F327" s="2" t="n"/>
      <c r="H327" s="3" t="n"/>
      <c r="K327" s="2">
        <f>IF(F327="","",F327-J327)</f>
        <v/>
      </c>
      <c r="L327">
        <f>IF(F327="","",F327-TODAY())</f>
        <v/>
      </c>
      <c r="M327">
        <f>IF(F327="","",IF(L327&lt;0,"Expired",IF(L327&lt;=30,"⚠ Due in 30 Days",IF(L327&lt;=60,"Upcoming (60 Days)","Active"))))</f>
        <v/>
      </c>
      <c r="P327" s="3">
        <f>IF(G327="Monthly",H327*12,IF(G327="Quarterly",H327*4,IF(G327="Annual",H327,IF(G327="Multi-Year",H327/2,H327))))</f>
        <v/>
      </c>
    </row>
    <row r="328">
      <c r="E328" s="2" t="n"/>
      <c r="F328" s="2" t="n"/>
      <c r="H328" s="3" t="n"/>
      <c r="K328" s="2">
        <f>IF(F328="","",F328-J328)</f>
        <v/>
      </c>
      <c r="L328">
        <f>IF(F328="","",F328-TODAY())</f>
        <v/>
      </c>
      <c r="M328">
        <f>IF(F328="","",IF(L328&lt;0,"Expired",IF(L328&lt;=30,"⚠ Due in 30 Days",IF(L328&lt;=60,"Upcoming (60 Days)","Active"))))</f>
        <v/>
      </c>
      <c r="P328" s="3">
        <f>IF(G328="Monthly",H328*12,IF(G328="Quarterly",H328*4,IF(G328="Annual",H328,IF(G328="Multi-Year",H328/2,H328))))</f>
        <v/>
      </c>
    </row>
    <row r="329">
      <c r="E329" s="2" t="n"/>
      <c r="F329" s="2" t="n"/>
      <c r="H329" s="3" t="n"/>
      <c r="K329" s="2">
        <f>IF(F329="","",F329-J329)</f>
        <v/>
      </c>
      <c r="L329">
        <f>IF(F329="","",F329-TODAY())</f>
        <v/>
      </c>
      <c r="M329">
        <f>IF(F329="","",IF(L329&lt;0,"Expired",IF(L329&lt;=30,"⚠ Due in 30 Days",IF(L329&lt;=60,"Upcoming (60 Days)","Active"))))</f>
        <v/>
      </c>
      <c r="P329" s="3">
        <f>IF(G329="Monthly",H329*12,IF(G329="Quarterly",H329*4,IF(G329="Annual",H329,IF(G329="Multi-Year",H329/2,H329))))</f>
        <v/>
      </c>
    </row>
    <row r="330">
      <c r="E330" s="2" t="n"/>
      <c r="F330" s="2" t="n"/>
      <c r="H330" s="3" t="n"/>
      <c r="K330" s="2">
        <f>IF(F330="","",F330-J330)</f>
        <v/>
      </c>
      <c r="L330">
        <f>IF(F330="","",F330-TODAY())</f>
        <v/>
      </c>
      <c r="M330">
        <f>IF(F330="","",IF(L330&lt;0,"Expired",IF(L330&lt;=30,"⚠ Due in 30 Days",IF(L330&lt;=60,"Upcoming (60 Days)","Active"))))</f>
        <v/>
      </c>
      <c r="P330" s="3">
        <f>IF(G330="Monthly",H330*12,IF(G330="Quarterly",H330*4,IF(G330="Annual",H330,IF(G330="Multi-Year",H330/2,H330))))</f>
        <v/>
      </c>
    </row>
    <row r="331">
      <c r="E331" s="2" t="n"/>
      <c r="F331" s="2" t="n"/>
      <c r="H331" s="3" t="n"/>
      <c r="K331" s="2">
        <f>IF(F331="","",F331-J331)</f>
        <v/>
      </c>
      <c r="L331">
        <f>IF(F331="","",F331-TODAY())</f>
        <v/>
      </c>
      <c r="M331">
        <f>IF(F331="","",IF(L331&lt;0,"Expired",IF(L331&lt;=30,"⚠ Due in 30 Days",IF(L331&lt;=60,"Upcoming (60 Days)","Active"))))</f>
        <v/>
      </c>
      <c r="P331" s="3">
        <f>IF(G331="Monthly",H331*12,IF(G331="Quarterly",H331*4,IF(G331="Annual",H331,IF(G331="Multi-Year",H331/2,H331))))</f>
        <v/>
      </c>
    </row>
    <row r="332">
      <c r="E332" s="2" t="n"/>
      <c r="F332" s="2" t="n"/>
      <c r="H332" s="3" t="n"/>
      <c r="K332" s="2">
        <f>IF(F332="","",F332-J332)</f>
        <v/>
      </c>
      <c r="L332">
        <f>IF(F332="","",F332-TODAY())</f>
        <v/>
      </c>
      <c r="M332">
        <f>IF(F332="","",IF(L332&lt;0,"Expired",IF(L332&lt;=30,"⚠ Due in 30 Days",IF(L332&lt;=60,"Upcoming (60 Days)","Active"))))</f>
        <v/>
      </c>
      <c r="P332" s="3">
        <f>IF(G332="Monthly",H332*12,IF(G332="Quarterly",H332*4,IF(G332="Annual",H332,IF(G332="Multi-Year",H332/2,H332))))</f>
        <v/>
      </c>
    </row>
    <row r="333">
      <c r="E333" s="2" t="n"/>
      <c r="F333" s="2" t="n"/>
      <c r="H333" s="3" t="n"/>
      <c r="K333" s="2">
        <f>IF(F333="","",F333-J333)</f>
        <v/>
      </c>
      <c r="L333">
        <f>IF(F333="","",F333-TODAY())</f>
        <v/>
      </c>
      <c r="M333">
        <f>IF(F333="","",IF(L333&lt;0,"Expired",IF(L333&lt;=30,"⚠ Due in 30 Days",IF(L333&lt;=60,"Upcoming (60 Days)","Active"))))</f>
        <v/>
      </c>
      <c r="P333" s="3">
        <f>IF(G333="Monthly",H333*12,IF(G333="Quarterly",H333*4,IF(G333="Annual",H333,IF(G333="Multi-Year",H333/2,H333))))</f>
        <v/>
      </c>
    </row>
    <row r="334">
      <c r="E334" s="2" t="n"/>
      <c r="F334" s="2" t="n"/>
      <c r="H334" s="3" t="n"/>
      <c r="K334" s="2">
        <f>IF(F334="","",F334-J334)</f>
        <v/>
      </c>
      <c r="L334">
        <f>IF(F334="","",F334-TODAY())</f>
        <v/>
      </c>
      <c r="M334">
        <f>IF(F334="","",IF(L334&lt;0,"Expired",IF(L334&lt;=30,"⚠ Due in 30 Days",IF(L334&lt;=60,"Upcoming (60 Days)","Active"))))</f>
        <v/>
      </c>
      <c r="P334" s="3">
        <f>IF(G334="Monthly",H334*12,IF(G334="Quarterly",H334*4,IF(G334="Annual",H334,IF(G334="Multi-Year",H334/2,H334))))</f>
        <v/>
      </c>
    </row>
    <row r="335">
      <c r="E335" s="2" t="n"/>
      <c r="F335" s="2" t="n"/>
      <c r="H335" s="3" t="n"/>
      <c r="K335" s="2">
        <f>IF(F335="","",F335-J335)</f>
        <v/>
      </c>
      <c r="L335">
        <f>IF(F335="","",F335-TODAY())</f>
        <v/>
      </c>
      <c r="M335">
        <f>IF(F335="","",IF(L335&lt;0,"Expired",IF(L335&lt;=30,"⚠ Due in 30 Days",IF(L335&lt;=60,"Upcoming (60 Days)","Active"))))</f>
        <v/>
      </c>
      <c r="P335" s="3">
        <f>IF(G335="Monthly",H335*12,IF(G335="Quarterly",H335*4,IF(G335="Annual",H335,IF(G335="Multi-Year",H335/2,H335))))</f>
        <v/>
      </c>
    </row>
    <row r="336">
      <c r="E336" s="2" t="n"/>
      <c r="F336" s="2" t="n"/>
      <c r="H336" s="3" t="n"/>
      <c r="K336" s="2">
        <f>IF(F336="","",F336-J336)</f>
        <v/>
      </c>
      <c r="L336">
        <f>IF(F336="","",F336-TODAY())</f>
        <v/>
      </c>
      <c r="M336">
        <f>IF(F336="","",IF(L336&lt;0,"Expired",IF(L336&lt;=30,"⚠ Due in 30 Days",IF(L336&lt;=60,"Upcoming (60 Days)","Active"))))</f>
        <v/>
      </c>
      <c r="P336" s="3">
        <f>IF(G336="Monthly",H336*12,IF(G336="Quarterly",H336*4,IF(G336="Annual",H336,IF(G336="Multi-Year",H336/2,H336))))</f>
        <v/>
      </c>
    </row>
    <row r="337">
      <c r="E337" s="2" t="n"/>
      <c r="F337" s="2" t="n"/>
      <c r="H337" s="3" t="n"/>
      <c r="K337" s="2">
        <f>IF(F337="","",F337-J337)</f>
        <v/>
      </c>
      <c r="L337">
        <f>IF(F337="","",F337-TODAY())</f>
        <v/>
      </c>
      <c r="M337">
        <f>IF(F337="","",IF(L337&lt;0,"Expired",IF(L337&lt;=30,"⚠ Due in 30 Days",IF(L337&lt;=60,"Upcoming (60 Days)","Active"))))</f>
        <v/>
      </c>
      <c r="P337" s="3">
        <f>IF(G337="Monthly",H337*12,IF(G337="Quarterly",H337*4,IF(G337="Annual",H337,IF(G337="Multi-Year",H337/2,H337))))</f>
        <v/>
      </c>
    </row>
    <row r="338">
      <c r="E338" s="2" t="n"/>
      <c r="F338" s="2" t="n"/>
      <c r="H338" s="3" t="n"/>
      <c r="K338" s="2">
        <f>IF(F338="","",F338-J338)</f>
        <v/>
      </c>
      <c r="L338">
        <f>IF(F338="","",F338-TODAY())</f>
        <v/>
      </c>
      <c r="M338">
        <f>IF(F338="","",IF(L338&lt;0,"Expired",IF(L338&lt;=30,"⚠ Due in 30 Days",IF(L338&lt;=60,"Upcoming (60 Days)","Active"))))</f>
        <v/>
      </c>
      <c r="P338" s="3">
        <f>IF(G338="Monthly",H338*12,IF(G338="Quarterly",H338*4,IF(G338="Annual",H338,IF(G338="Multi-Year",H338/2,H338))))</f>
        <v/>
      </c>
    </row>
    <row r="339">
      <c r="E339" s="2" t="n"/>
      <c r="F339" s="2" t="n"/>
      <c r="H339" s="3" t="n"/>
      <c r="K339" s="2">
        <f>IF(F339="","",F339-J339)</f>
        <v/>
      </c>
      <c r="L339">
        <f>IF(F339="","",F339-TODAY())</f>
        <v/>
      </c>
      <c r="M339">
        <f>IF(F339="","",IF(L339&lt;0,"Expired",IF(L339&lt;=30,"⚠ Due in 30 Days",IF(L339&lt;=60,"Upcoming (60 Days)","Active"))))</f>
        <v/>
      </c>
      <c r="P339" s="3">
        <f>IF(G339="Monthly",H339*12,IF(G339="Quarterly",H339*4,IF(G339="Annual",H339,IF(G339="Multi-Year",H339/2,H339))))</f>
        <v/>
      </c>
    </row>
    <row r="340">
      <c r="E340" s="2" t="n"/>
      <c r="F340" s="2" t="n"/>
      <c r="H340" s="3" t="n"/>
      <c r="K340" s="2">
        <f>IF(F340="","",F340-J340)</f>
        <v/>
      </c>
      <c r="L340">
        <f>IF(F340="","",F340-TODAY())</f>
        <v/>
      </c>
      <c r="M340">
        <f>IF(F340="","",IF(L340&lt;0,"Expired",IF(L340&lt;=30,"⚠ Due in 30 Days",IF(L340&lt;=60,"Upcoming (60 Days)","Active"))))</f>
        <v/>
      </c>
      <c r="P340" s="3">
        <f>IF(G340="Monthly",H340*12,IF(G340="Quarterly",H340*4,IF(G340="Annual",H340,IF(G340="Multi-Year",H340/2,H340))))</f>
        <v/>
      </c>
    </row>
    <row r="341">
      <c r="E341" s="2" t="n"/>
      <c r="F341" s="2" t="n"/>
      <c r="H341" s="3" t="n"/>
      <c r="K341" s="2">
        <f>IF(F341="","",F341-J341)</f>
        <v/>
      </c>
      <c r="L341">
        <f>IF(F341="","",F341-TODAY())</f>
        <v/>
      </c>
      <c r="M341">
        <f>IF(F341="","",IF(L341&lt;0,"Expired",IF(L341&lt;=30,"⚠ Due in 30 Days",IF(L341&lt;=60,"Upcoming (60 Days)","Active"))))</f>
        <v/>
      </c>
      <c r="P341" s="3">
        <f>IF(G341="Monthly",H341*12,IF(G341="Quarterly",H341*4,IF(G341="Annual",H341,IF(G341="Multi-Year",H341/2,H341))))</f>
        <v/>
      </c>
    </row>
    <row r="342">
      <c r="E342" s="2" t="n"/>
      <c r="F342" s="2" t="n"/>
      <c r="H342" s="3" t="n"/>
      <c r="K342" s="2">
        <f>IF(F342="","",F342-J342)</f>
        <v/>
      </c>
      <c r="L342">
        <f>IF(F342="","",F342-TODAY())</f>
        <v/>
      </c>
      <c r="M342">
        <f>IF(F342="","",IF(L342&lt;0,"Expired",IF(L342&lt;=30,"⚠ Due in 30 Days",IF(L342&lt;=60,"Upcoming (60 Days)","Active"))))</f>
        <v/>
      </c>
      <c r="P342" s="3">
        <f>IF(G342="Monthly",H342*12,IF(G342="Quarterly",H342*4,IF(G342="Annual",H342,IF(G342="Multi-Year",H342/2,H342))))</f>
        <v/>
      </c>
    </row>
    <row r="343">
      <c r="E343" s="2" t="n"/>
      <c r="F343" s="2" t="n"/>
      <c r="H343" s="3" t="n"/>
      <c r="K343" s="2">
        <f>IF(F343="","",F343-J343)</f>
        <v/>
      </c>
      <c r="L343">
        <f>IF(F343="","",F343-TODAY())</f>
        <v/>
      </c>
      <c r="M343">
        <f>IF(F343="","",IF(L343&lt;0,"Expired",IF(L343&lt;=30,"⚠ Due in 30 Days",IF(L343&lt;=60,"Upcoming (60 Days)","Active"))))</f>
        <v/>
      </c>
      <c r="P343" s="3">
        <f>IF(G343="Monthly",H343*12,IF(G343="Quarterly",H343*4,IF(G343="Annual",H343,IF(G343="Multi-Year",H343/2,H343))))</f>
        <v/>
      </c>
    </row>
    <row r="344">
      <c r="E344" s="2" t="n"/>
      <c r="F344" s="2" t="n"/>
      <c r="H344" s="3" t="n"/>
      <c r="K344" s="2">
        <f>IF(F344="","",F344-J344)</f>
        <v/>
      </c>
      <c r="L344">
        <f>IF(F344="","",F344-TODAY())</f>
        <v/>
      </c>
      <c r="M344">
        <f>IF(F344="","",IF(L344&lt;0,"Expired",IF(L344&lt;=30,"⚠ Due in 30 Days",IF(L344&lt;=60,"Upcoming (60 Days)","Active"))))</f>
        <v/>
      </c>
      <c r="P344" s="3">
        <f>IF(G344="Monthly",H344*12,IF(G344="Quarterly",H344*4,IF(G344="Annual",H344,IF(G344="Multi-Year",H344/2,H344))))</f>
        <v/>
      </c>
    </row>
    <row r="345">
      <c r="E345" s="2" t="n"/>
      <c r="F345" s="2" t="n"/>
      <c r="H345" s="3" t="n"/>
      <c r="K345" s="2">
        <f>IF(F345="","",F345-J345)</f>
        <v/>
      </c>
      <c r="L345">
        <f>IF(F345="","",F345-TODAY())</f>
        <v/>
      </c>
      <c r="M345">
        <f>IF(F345="","",IF(L345&lt;0,"Expired",IF(L345&lt;=30,"⚠ Due in 30 Days",IF(L345&lt;=60,"Upcoming (60 Days)","Active"))))</f>
        <v/>
      </c>
      <c r="P345" s="3">
        <f>IF(G345="Monthly",H345*12,IF(G345="Quarterly",H345*4,IF(G345="Annual",H345,IF(G345="Multi-Year",H345/2,H345))))</f>
        <v/>
      </c>
    </row>
    <row r="346">
      <c r="E346" s="2" t="n"/>
      <c r="F346" s="2" t="n"/>
      <c r="H346" s="3" t="n"/>
      <c r="K346" s="2">
        <f>IF(F346="","",F346-J346)</f>
        <v/>
      </c>
      <c r="L346">
        <f>IF(F346="","",F346-TODAY())</f>
        <v/>
      </c>
      <c r="M346">
        <f>IF(F346="","",IF(L346&lt;0,"Expired",IF(L346&lt;=30,"⚠ Due in 30 Days",IF(L346&lt;=60,"Upcoming (60 Days)","Active"))))</f>
        <v/>
      </c>
      <c r="P346" s="3">
        <f>IF(G346="Monthly",H346*12,IF(G346="Quarterly",H346*4,IF(G346="Annual",H346,IF(G346="Multi-Year",H346/2,H346))))</f>
        <v/>
      </c>
    </row>
    <row r="347">
      <c r="E347" s="2" t="n"/>
      <c r="F347" s="2" t="n"/>
      <c r="H347" s="3" t="n"/>
      <c r="K347" s="2">
        <f>IF(F347="","",F347-J347)</f>
        <v/>
      </c>
      <c r="L347">
        <f>IF(F347="","",F347-TODAY())</f>
        <v/>
      </c>
      <c r="M347">
        <f>IF(F347="","",IF(L347&lt;0,"Expired",IF(L347&lt;=30,"⚠ Due in 30 Days",IF(L347&lt;=60,"Upcoming (60 Days)","Active"))))</f>
        <v/>
      </c>
      <c r="P347" s="3">
        <f>IF(G347="Monthly",H347*12,IF(G347="Quarterly",H347*4,IF(G347="Annual",H347,IF(G347="Multi-Year",H347/2,H347))))</f>
        <v/>
      </c>
    </row>
    <row r="348">
      <c r="E348" s="2" t="n"/>
      <c r="F348" s="2" t="n"/>
      <c r="H348" s="3" t="n"/>
      <c r="K348" s="2">
        <f>IF(F348="","",F348-J348)</f>
        <v/>
      </c>
      <c r="L348">
        <f>IF(F348="","",F348-TODAY())</f>
        <v/>
      </c>
      <c r="M348">
        <f>IF(F348="","",IF(L348&lt;0,"Expired",IF(L348&lt;=30,"⚠ Due in 30 Days",IF(L348&lt;=60,"Upcoming (60 Days)","Active"))))</f>
        <v/>
      </c>
      <c r="P348" s="3">
        <f>IF(G348="Monthly",H348*12,IF(G348="Quarterly",H348*4,IF(G348="Annual",H348,IF(G348="Multi-Year",H348/2,H348))))</f>
        <v/>
      </c>
    </row>
    <row r="349">
      <c r="E349" s="2" t="n"/>
      <c r="F349" s="2" t="n"/>
      <c r="H349" s="3" t="n"/>
      <c r="K349" s="2">
        <f>IF(F349="","",F349-J349)</f>
        <v/>
      </c>
      <c r="L349">
        <f>IF(F349="","",F349-TODAY())</f>
        <v/>
      </c>
      <c r="M349">
        <f>IF(F349="","",IF(L349&lt;0,"Expired",IF(L349&lt;=30,"⚠ Due in 30 Days",IF(L349&lt;=60,"Upcoming (60 Days)","Active"))))</f>
        <v/>
      </c>
      <c r="P349" s="3">
        <f>IF(G349="Monthly",H349*12,IF(G349="Quarterly",H349*4,IF(G349="Annual",H349,IF(G349="Multi-Year",H349/2,H349))))</f>
        <v/>
      </c>
    </row>
    <row r="350">
      <c r="E350" s="2" t="n"/>
      <c r="F350" s="2" t="n"/>
      <c r="H350" s="3" t="n"/>
      <c r="K350" s="2">
        <f>IF(F350="","",F350-J350)</f>
        <v/>
      </c>
      <c r="L350">
        <f>IF(F350="","",F350-TODAY())</f>
        <v/>
      </c>
      <c r="M350">
        <f>IF(F350="","",IF(L350&lt;0,"Expired",IF(L350&lt;=30,"⚠ Due in 30 Days",IF(L350&lt;=60,"Upcoming (60 Days)","Active"))))</f>
        <v/>
      </c>
      <c r="P350" s="3">
        <f>IF(G350="Monthly",H350*12,IF(G350="Quarterly",H350*4,IF(G350="Annual",H350,IF(G350="Multi-Year",H350/2,H350))))</f>
        <v/>
      </c>
    </row>
    <row r="351">
      <c r="E351" s="2" t="n"/>
      <c r="F351" s="2" t="n"/>
      <c r="H351" s="3" t="n"/>
      <c r="K351" s="2">
        <f>IF(F351="","",F351-J351)</f>
        <v/>
      </c>
      <c r="L351">
        <f>IF(F351="","",F351-TODAY())</f>
        <v/>
      </c>
      <c r="M351">
        <f>IF(F351="","",IF(L351&lt;0,"Expired",IF(L351&lt;=30,"⚠ Due in 30 Days",IF(L351&lt;=60,"Upcoming (60 Days)","Active"))))</f>
        <v/>
      </c>
      <c r="P351" s="3">
        <f>IF(G351="Monthly",H351*12,IF(G351="Quarterly",H351*4,IF(G351="Annual",H351,IF(G351="Multi-Year",H351/2,H351))))</f>
        <v/>
      </c>
    </row>
    <row r="352">
      <c r="E352" s="2" t="n"/>
      <c r="F352" s="2" t="n"/>
      <c r="H352" s="3" t="n"/>
      <c r="K352" s="2">
        <f>IF(F352="","",F352-J352)</f>
        <v/>
      </c>
      <c r="L352">
        <f>IF(F352="","",F352-TODAY())</f>
        <v/>
      </c>
      <c r="M352">
        <f>IF(F352="","",IF(L352&lt;0,"Expired",IF(L352&lt;=30,"⚠ Due in 30 Days",IF(L352&lt;=60,"Upcoming (60 Days)","Active"))))</f>
        <v/>
      </c>
      <c r="P352" s="3">
        <f>IF(G352="Monthly",H352*12,IF(G352="Quarterly",H352*4,IF(G352="Annual",H352,IF(G352="Multi-Year",H352/2,H352))))</f>
        <v/>
      </c>
    </row>
    <row r="353">
      <c r="E353" s="2" t="n"/>
      <c r="F353" s="2" t="n"/>
      <c r="H353" s="3" t="n"/>
      <c r="K353" s="2">
        <f>IF(F353="","",F353-J353)</f>
        <v/>
      </c>
      <c r="L353">
        <f>IF(F353="","",F353-TODAY())</f>
        <v/>
      </c>
      <c r="M353">
        <f>IF(F353="","",IF(L353&lt;0,"Expired",IF(L353&lt;=30,"⚠ Due in 30 Days",IF(L353&lt;=60,"Upcoming (60 Days)","Active"))))</f>
        <v/>
      </c>
      <c r="P353" s="3">
        <f>IF(G353="Monthly",H353*12,IF(G353="Quarterly",H353*4,IF(G353="Annual",H353,IF(G353="Multi-Year",H353/2,H353))))</f>
        <v/>
      </c>
    </row>
    <row r="354">
      <c r="E354" s="2" t="n"/>
      <c r="F354" s="2" t="n"/>
      <c r="H354" s="3" t="n"/>
      <c r="K354" s="2">
        <f>IF(F354="","",F354-J354)</f>
        <v/>
      </c>
      <c r="L354">
        <f>IF(F354="","",F354-TODAY())</f>
        <v/>
      </c>
      <c r="M354">
        <f>IF(F354="","",IF(L354&lt;0,"Expired",IF(L354&lt;=30,"⚠ Due in 30 Days",IF(L354&lt;=60,"Upcoming (60 Days)","Active"))))</f>
        <v/>
      </c>
      <c r="P354" s="3">
        <f>IF(G354="Monthly",H354*12,IF(G354="Quarterly",H354*4,IF(G354="Annual",H354,IF(G354="Multi-Year",H354/2,H354))))</f>
        <v/>
      </c>
    </row>
    <row r="355">
      <c r="E355" s="2" t="n"/>
      <c r="F355" s="2" t="n"/>
      <c r="H355" s="3" t="n"/>
      <c r="K355" s="2">
        <f>IF(F355="","",F355-J355)</f>
        <v/>
      </c>
      <c r="L355">
        <f>IF(F355="","",F355-TODAY())</f>
        <v/>
      </c>
      <c r="M355">
        <f>IF(F355="","",IF(L355&lt;0,"Expired",IF(L355&lt;=30,"⚠ Due in 30 Days",IF(L355&lt;=60,"Upcoming (60 Days)","Active"))))</f>
        <v/>
      </c>
      <c r="P355" s="3">
        <f>IF(G355="Monthly",H355*12,IF(G355="Quarterly",H355*4,IF(G355="Annual",H355,IF(G355="Multi-Year",H355/2,H355))))</f>
        <v/>
      </c>
    </row>
    <row r="356">
      <c r="E356" s="2" t="n"/>
      <c r="F356" s="2" t="n"/>
      <c r="H356" s="3" t="n"/>
      <c r="K356" s="2">
        <f>IF(F356="","",F356-J356)</f>
        <v/>
      </c>
      <c r="L356">
        <f>IF(F356="","",F356-TODAY())</f>
        <v/>
      </c>
      <c r="M356">
        <f>IF(F356="","",IF(L356&lt;0,"Expired",IF(L356&lt;=30,"⚠ Due in 30 Days",IF(L356&lt;=60,"Upcoming (60 Days)","Active"))))</f>
        <v/>
      </c>
      <c r="P356" s="3">
        <f>IF(G356="Monthly",H356*12,IF(G356="Quarterly",H356*4,IF(G356="Annual",H356,IF(G356="Multi-Year",H356/2,H356))))</f>
        <v/>
      </c>
    </row>
    <row r="357">
      <c r="E357" s="2" t="n"/>
      <c r="F357" s="2" t="n"/>
      <c r="H357" s="3" t="n"/>
      <c r="K357" s="2">
        <f>IF(F357="","",F357-J357)</f>
        <v/>
      </c>
      <c r="L357">
        <f>IF(F357="","",F357-TODAY())</f>
        <v/>
      </c>
      <c r="M357">
        <f>IF(F357="","",IF(L357&lt;0,"Expired",IF(L357&lt;=30,"⚠ Due in 30 Days",IF(L357&lt;=60,"Upcoming (60 Days)","Active"))))</f>
        <v/>
      </c>
      <c r="P357" s="3">
        <f>IF(G357="Monthly",H357*12,IF(G357="Quarterly",H357*4,IF(G357="Annual",H357,IF(G357="Multi-Year",H357/2,H357))))</f>
        <v/>
      </c>
    </row>
    <row r="358">
      <c r="E358" s="2" t="n"/>
      <c r="F358" s="2" t="n"/>
      <c r="H358" s="3" t="n"/>
      <c r="K358" s="2">
        <f>IF(F358="","",F358-J358)</f>
        <v/>
      </c>
      <c r="L358">
        <f>IF(F358="","",F358-TODAY())</f>
        <v/>
      </c>
      <c r="M358">
        <f>IF(F358="","",IF(L358&lt;0,"Expired",IF(L358&lt;=30,"⚠ Due in 30 Days",IF(L358&lt;=60,"Upcoming (60 Days)","Active"))))</f>
        <v/>
      </c>
      <c r="P358" s="3">
        <f>IF(G358="Monthly",H358*12,IF(G358="Quarterly",H358*4,IF(G358="Annual",H358,IF(G358="Multi-Year",H358/2,H358))))</f>
        <v/>
      </c>
    </row>
    <row r="359">
      <c r="E359" s="2" t="n"/>
      <c r="F359" s="2" t="n"/>
      <c r="H359" s="3" t="n"/>
      <c r="K359" s="2">
        <f>IF(F359="","",F359-J359)</f>
        <v/>
      </c>
      <c r="L359">
        <f>IF(F359="","",F359-TODAY())</f>
        <v/>
      </c>
      <c r="M359">
        <f>IF(F359="","",IF(L359&lt;0,"Expired",IF(L359&lt;=30,"⚠ Due in 30 Days",IF(L359&lt;=60,"Upcoming (60 Days)","Active"))))</f>
        <v/>
      </c>
      <c r="P359" s="3">
        <f>IF(G359="Monthly",H359*12,IF(G359="Quarterly",H359*4,IF(G359="Annual",H359,IF(G359="Multi-Year",H359/2,H359))))</f>
        <v/>
      </c>
    </row>
    <row r="360">
      <c r="E360" s="2" t="n"/>
      <c r="F360" s="2" t="n"/>
      <c r="H360" s="3" t="n"/>
      <c r="K360" s="2">
        <f>IF(F360="","",F360-J360)</f>
        <v/>
      </c>
      <c r="L360">
        <f>IF(F360="","",F360-TODAY())</f>
        <v/>
      </c>
      <c r="M360">
        <f>IF(F360="","",IF(L360&lt;0,"Expired",IF(L360&lt;=30,"⚠ Due in 30 Days",IF(L360&lt;=60,"Upcoming (60 Days)","Active"))))</f>
        <v/>
      </c>
      <c r="P360" s="3">
        <f>IF(G360="Monthly",H360*12,IF(G360="Quarterly",H360*4,IF(G360="Annual",H360,IF(G360="Multi-Year",H360/2,H360))))</f>
        <v/>
      </c>
    </row>
    <row r="361">
      <c r="E361" s="2" t="n"/>
      <c r="F361" s="2" t="n"/>
      <c r="H361" s="3" t="n"/>
      <c r="K361" s="2">
        <f>IF(F361="","",F361-J361)</f>
        <v/>
      </c>
      <c r="L361">
        <f>IF(F361="","",F361-TODAY())</f>
        <v/>
      </c>
      <c r="M361">
        <f>IF(F361="","",IF(L361&lt;0,"Expired",IF(L361&lt;=30,"⚠ Due in 30 Days",IF(L361&lt;=60,"Upcoming (60 Days)","Active"))))</f>
        <v/>
      </c>
      <c r="P361" s="3">
        <f>IF(G361="Monthly",H361*12,IF(G361="Quarterly",H361*4,IF(G361="Annual",H361,IF(G361="Multi-Year",H361/2,H361))))</f>
        <v/>
      </c>
    </row>
    <row r="362">
      <c r="E362" s="2" t="n"/>
      <c r="F362" s="2" t="n"/>
      <c r="H362" s="3" t="n"/>
      <c r="K362" s="2">
        <f>IF(F362="","",F362-J362)</f>
        <v/>
      </c>
      <c r="L362">
        <f>IF(F362="","",F362-TODAY())</f>
        <v/>
      </c>
      <c r="M362">
        <f>IF(F362="","",IF(L362&lt;0,"Expired",IF(L362&lt;=30,"⚠ Due in 30 Days",IF(L362&lt;=60,"Upcoming (60 Days)","Active"))))</f>
        <v/>
      </c>
      <c r="P362" s="3">
        <f>IF(G362="Monthly",H362*12,IF(G362="Quarterly",H362*4,IF(G362="Annual",H362,IF(G362="Multi-Year",H362/2,H362))))</f>
        <v/>
      </c>
    </row>
    <row r="363">
      <c r="E363" s="2" t="n"/>
      <c r="F363" s="2" t="n"/>
      <c r="H363" s="3" t="n"/>
      <c r="K363" s="2">
        <f>IF(F363="","",F363-J363)</f>
        <v/>
      </c>
      <c r="L363">
        <f>IF(F363="","",F363-TODAY())</f>
        <v/>
      </c>
      <c r="M363">
        <f>IF(F363="","",IF(L363&lt;0,"Expired",IF(L363&lt;=30,"⚠ Due in 30 Days",IF(L363&lt;=60,"Upcoming (60 Days)","Active"))))</f>
        <v/>
      </c>
      <c r="P363" s="3">
        <f>IF(G363="Monthly",H363*12,IF(G363="Quarterly",H363*4,IF(G363="Annual",H363,IF(G363="Multi-Year",H363/2,H363))))</f>
        <v/>
      </c>
    </row>
    <row r="364">
      <c r="E364" s="2" t="n"/>
      <c r="F364" s="2" t="n"/>
      <c r="H364" s="3" t="n"/>
      <c r="K364" s="2">
        <f>IF(F364="","",F364-J364)</f>
        <v/>
      </c>
      <c r="L364">
        <f>IF(F364="","",F364-TODAY())</f>
        <v/>
      </c>
      <c r="M364">
        <f>IF(F364="","",IF(L364&lt;0,"Expired",IF(L364&lt;=30,"⚠ Due in 30 Days",IF(L364&lt;=60,"Upcoming (60 Days)","Active"))))</f>
        <v/>
      </c>
      <c r="P364" s="3">
        <f>IF(G364="Monthly",H364*12,IF(G364="Quarterly",H364*4,IF(G364="Annual",H364,IF(G364="Multi-Year",H364/2,H364))))</f>
        <v/>
      </c>
    </row>
    <row r="365">
      <c r="E365" s="2" t="n"/>
      <c r="F365" s="2" t="n"/>
      <c r="H365" s="3" t="n"/>
      <c r="K365" s="2">
        <f>IF(F365="","",F365-J365)</f>
        <v/>
      </c>
      <c r="L365">
        <f>IF(F365="","",F365-TODAY())</f>
        <v/>
      </c>
      <c r="M365">
        <f>IF(F365="","",IF(L365&lt;0,"Expired",IF(L365&lt;=30,"⚠ Due in 30 Days",IF(L365&lt;=60,"Upcoming (60 Days)","Active"))))</f>
        <v/>
      </c>
      <c r="P365" s="3">
        <f>IF(G365="Monthly",H365*12,IF(G365="Quarterly",H365*4,IF(G365="Annual",H365,IF(G365="Multi-Year",H365/2,H365))))</f>
        <v/>
      </c>
    </row>
    <row r="366">
      <c r="E366" s="2" t="n"/>
      <c r="F366" s="2" t="n"/>
      <c r="H366" s="3" t="n"/>
      <c r="K366" s="2">
        <f>IF(F366="","",F366-J366)</f>
        <v/>
      </c>
      <c r="L366">
        <f>IF(F366="","",F366-TODAY())</f>
        <v/>
      </c>
      <c r="M366">
        <f>IF(F366="","",IF(L366&lt;0,"Expired",IF(L366&lt;=30,"⚠ Due in 30 Days",IF(L366&lt;=60,"Upcoming (60 Days)","Active"))))</f>
        <v/>
      </c>
      <c r="P366" s="3">
        <f>IF(G366="Monthly",H366*12,IF(G366="Quarterly",H366*4,IF(G366="Annual",H366,IF(G366="Multi-Year",H366/2,H366))))</f>
        <v/>
      </c>
    </row>
    <row r="367">
      <c r="E367" s="2" t="n"/>
      <c r="F367" s="2" t="n"/>
      <c r="H367" s="3" t="n"/>
      <c r="K367" s="2">
        <f>IF(F367="","",F367-J367)</f>
        <v/>
      </c>
      <c r="L367">
        <f>IF(F367="","",F367-TODAY())</f>
        <v/>
      </c>
      <c r="M367">
        <f>IF(F367="","",IF(L367&lt;0,"Expired",IF(L367&lt;=30,"⚠ Due in 30 Days",IF(L367&lt;=60,"Upcoming (60 Days)","Active"))))</f>
        <v/>
      </c>
      <c r="P367" s="3">
        <f>IF(G367="Monthly",H367*12,IF(G367="Quarterly",H367*4,IF(G367="Annual",H367,IF(G367="Multi-Year",H367/2,H367))))</f>
        <v/>
      </c>
    </row>
    <row r="368">
      <c r="E368" s="2" t="n"/>
      <c r="F368" s="2" t="n"/>
      <c r="H368" s="3" t="n"/>
      <c r="K368" s="2">
        <f>IF(F368="","",F368-J368)</f>
        <v/>
      </c>
      <c r="L368">
        <f>IF(F368="","",F368-TODAY())</f>
        <v/>
      </c>
      <c r="M368">
        <f>IF(F368="","",IF(L368&lt;0,"Expired",IF(L368&lt;=30,"⚠ Due in 30 Days",IF(L368&lt;=60,"Upcoming (60 Days)","Active"))))</f>
        <v/>
      </c>
      <c r="P368" s="3">
        <f>IF(G368="Monthly",H368*12,IF(G368="Quarterly",H368*4,IF(G368="Annual",H368,IF(G368="Multi-Year",H368/2,H368))))</f>
        <v/>
      </c>
    </row>
    <row r="369">
      <c r="E369" s="2" t="n"/>
      <c r="F369" s="2" t="n"/>
      <c r="H369" s="3" t="n"/>
      <c r="K369" s="2">
        <f>IF(F369="","",F369-J369)</f>
        <v/>
      </c>
      <c r="L369">
        <f>IF(F369="","",F369-TODAY())</f>
        <v/>
      </c>
      <c r="M369">
        <f>IF(F369="","",IF(L369&lt;0,"Expired",IF(L369&lt;=30,"⚠ Due in 30 Days",IF(L369&lt;=60,"Upcoming (60 Days)","Active"))))</f>
        <v/>
      </c>
      <c r="P369" s="3">
        <f>IF(G369="Monthly",H369*12,IF(G369="Quarterly",H369*4,IF(G369="Annual",H369,IF(G369="Multi-Year",H369/2,H369))))</f>
        <v/>
      </c>
    </row>
    <row r="370">
      <c r="E370" s="2" t="n"/>
      <c r="F370" s="2" t="n"/>
      <c r="H370" s="3" t="n"/>
      <c r="K370" s="2">
        <f>IF(F370="","",F370-J370)</f>
        <v/>
      </c>
      <c r="L370">
        <f>IF(F370="","",F370-TODAY())</f>
        <v/>
      </c>
      <c r="M370">
        <f>IF(F370="","",IF(L370&lt;0,"Expired",IF(L370&lt;=30,"⚠ Due in 30 Days",IF(L370&lt;=60,"Upcoming (60 Days)","Active"))))</f>
        <v/>
      </c>
      <c r="P370" s="3">
        <f>IF(G370="Monthly",H370*12,IF(G370="Quarterly",H370*4,IF(G370="Annual",H370,IF(G370="Multi-Year",H370/2,H370))))</f>
        <v/>
      </c>
    </row>
    <row r="371">
      <c r="E371" s="2" t="n"/>
      <c r="F371" s="2" t="n"/>
      <c r="H371" s="3" t="n"/>
      <c r="K371" s="2">
        <f>IF(F371="","",F371-J371)</f>
        <v/>
      </c>
      <c r="L371">
        <f>IF(F371="","",F371-TODAY())</f>
        <v/>
      </c>
      <c r="M371">
        <f>IF(F371="","",IF(L371&lt;0,"Expired",IF(L371&lt;=30,"⚠ Due in 30 Days",IF(L371&lt;=60,"Upcoming (60 Days)","Active"))))</f>
        <v/>
      </c>
      <c r="P371" s="3">
        <f>IF(G371="Monthly",H371*12,IF(G371="Quarterly",H371*4,IF(G371="Annual",H371,IF(G371="Multi-Year",H371/2,H371))))</f>
        <v/>
      </c>
    </row>
    <row r="372">
      <c r="E372" s="2" t="n"/>
      <c r="F372" s="2" t="n"/>
      <c r="H372" s="3" t="n"/>
      <c r="K372" s="2">
        <f>IF(F372="","",F372-J372)</f>
        <v/>
      </c>
      <c r="L372">
        <f>IF(F372="","",F372-TODAY())</f>
        <v/>
      </c>
      <c r="M372">
        <f>IF(F372="","",IF(L372&lt;0,"Expired",IF(L372&lt;=30,"⚠ Due in 30 Days",IF(L372&lt;=60,"Upcoming (60 Days)","Active"))))</f>
        <v/>
      </c>
      <c r="P372" s="3">
        <f>IF(G372="Monthly",H372*12,IF(G372="Quarterly",H372*4,IF(G372="Annual",H372,IF(G372="Multi-Year",H372/2,H372))))</f>
        <v/>
      </c>
    </row>
    <row r="373">
      <c r="E373" s="2" t="n"/>
      <c r="F373" s="2" t="n"/>
      <c r="H373" s="3" t="n"/>
      <c r="K373" s="2">
        <f>IF(F373="","",F373-J373)</f>
        <v/>
      </c>
      <c r="L373">
        <f>IF(F373="","",F373-TODAY())</f>
        <v/>
      </c>
      <c r="M373">
        <f>IF(F373="","",IF(L373&lt;0,"Expired",IF(L373&lt;=30,"⚠ Due in 30 Days",IF(L373&lt;=60,"Upcoming (60 Days)","Active"))))</f>
        <v/>
      </c>
      <c r="P373" s="3">
        <f>IF(G373="Monthly",H373*12,IF(G373="Quarterly",H373*4,IF(G373="Annual",H373,IF(G373="Multi-Year",H373/2,H373))))</f>
        <v/>
      </c>
    </row>
    <row r="374">
      <c r="E374" s="2" t="n"/>
      <c r="F374" s="2" t="n"/>
      <c r="H374" s="3" t="n"/>
      <c r="K374" s="2">
        <f>IF(F374="","",F374-J374)</f>
        <v/>
      </c>
      <c r="L374">
        <f>IF(F374="","",F374-TODAY())</f>
        <v/>
      </c>
      <c r="M374">
        <f>IF(F374="","",IF(L374&lt;0,"Expired",IF(L374&lt;=30,"⚠ Due in 30 Days",IF(L374&lt;=60,"Upcoming (60 Days)","Active"))))</f>
        <v/>
      </c>
      <c r="P374" s="3">
        <f>IF(G374="Monthly",H374*12,IF(G374="Quarterly",H374*4,IF(G374="Annual",H374,IF(G374="Multi-Year",H374/2,H374))))</f>
        <v/>
      </c>
    </row>
    <row r="375">
      <c r="E375" s="2" t="n"/>
      <c r="F375" s="2" t="n"/>
      <c r="H375" s="3" t="n"/>
      <c r="K375" s="2">
        <f>IF(F375="","",F375-J375)</f>
        <v/>
      </c>
      <c r="L375">
        <f>IF(F375="","",F375-TODAY())</f>
        <v/>
      </c>
      <c r="M375">
        <f>IF(F375="","",IF(L375&lt;0,"Expired",IF(L375&lt;=30,"⚠ Due in 30 Days",IF(L375&lt;=60,"Upcoming (60 Days)","Active"))))</f>
        <v/>
      </c>
      <c r="P375" s="3">
        <f>IF(G375="Monthly",H375*12,IF(G375="Quarterly",H375*4,IF(G375="Annual",H375,IF(G375="Multi-Year",H375/2,H375))))</f>
        <v/>
      </c>
    </row>
    <row r="376">
      <c r="E376" s="2" t="n"/>
      <c r="F376" s="2" t="n"/>
      <c r="H376" s="3" t="n"/>
      <c r="K376" s="2">
        <f>IF(F376="","",F376-J376)</f>
        <v/>
      </c>
      <c r="L376">
        <f>IF(F376="","",F376-TODAY())</f>
        <v/>
      </c>
      <c r="M376">
        <f>IF(F376="","",IF(L376&lt;0,"Expired",IF(L376&lt;=30,"⚠ Due in 30 Days",IF(L376&lt;=60,"Upcoming (60 Days)","Active"))))</f>
        <v/>
      </c>
      <c r="P376" s="3">
        <f>IF(G376="Monthly",H376*12,IF(G376="Quarterly",H376*4,IF(G376="Annual",H376,IF(G376="Multi-Year",H376/2,H376))))</f>
        <v/>
      </c>
    </row>
    <row r="377">
      <c r="E377" s="2" t="n"/>
      <c r="F377" s="2" t="n"/>
      <c r="H377" s="3" t="n"/>
      <c r="K377" s="2">
        <f>IF(F377="","",F377-J377)</f>
        <v/>
      </c>
      <c r="L377">
        <f>IF(F377="","",F377-TODAY())</f>
        <v/>
      </c>
      <c r="M377">
        <f>IF(F377="","",IF(L377&lt;0,"Expired",IF(L377&lt;=30,"⚠ Due in 30 Days",IF(L377&lt;=60,"Upcoming (60 Days)","Active"))))</f>
        <v/>
      </c>
      <c r="P377" s="3">
        <f>IF(G377="Monthly",H377*12,IF(G377="Quarterly",H377*4,IF(G377="Annual",H377,IF(G377="Multi-Year",H377/2,H377))))</f>
        <v/>
      </c>
    </row>
    <row r="378">
      <c r="E378" s="2" t="n"/>
      <c r="F378" s="2" t="n"/>
      <c r="H378" s="3" t="n"/>
      <c r="K378" s="2">
        <f>IF(F378="","",F378-J378)</f>
        <v/>
      </c>
      <c r="L378">
        <f>IF(F378="","",F378-TODAY())</f>
        <v/>
      </c>
      <c r="M378">
        <f>IF(F378="","",IF(L378&lt;0,"Expired",IF(L378&lt;=30,"⚠ Due in 30 Days",IF(L378&lt;=60,"Upcoming (60 Days)","Active"))))</f>
        <v/>
      </c>
      <c r="P378" s="3">
        <f>IF(G378="Monthly",H378*12,IF(G378="Quarterly",H378*4,IF(G378="Annual",H378,IF(G378="Multi-Year",H378/2,H378))))</f>
        <v/>
      </c>
    </row>
    <row r="379">
      <c r="E379" s="2" t="n"/>
      <c r="F379" s="2" t="n"/>
      <c r="H379" s="3" t="n"/>
      <c r="K379" s="2">
        <f>IF(F379="","",F379-J379)</f>
        <v/>
      </c>
      <c r="L379">
        <f>IF(F379="","",F379-TODAY())</f>
        <v/>
      </c>
      <c r="M379">
        <f>IF(F379="","",IF(L379&lt;0,"Expired",IF(L379&lt;=30,"⚠ Due in 30 Days",IF(L379&lt;=60,"Upcoming (60 Days)","Active"))))</f>
        <v/>
      </c>
      <c r="P379" s="3">
        <f>IF(G379="Monthly",H379*12,IF(G379="Quarterly",H379*4,IF(G379="Annual",H379,IF(G379="Multi-Year",H379/2,H379))))</f>
        <v/>
      </c>
    </row>
    <row r="380">
      <c r="E380" s="2" t="n"/>
      <c r="F380" s="2" t="n"/>
      <c r="H380" s="3" t="n"/>
      <c r="K380" s="2">
        <f>IF(F380="","",F380-J380)</f>
        <v/>
      </c>
      <c r="L380">
        <f>IF(F380="","",F380-TODAY())</f>
        <v/>
      </c>
      <c r="M380">
        <f>IF(F380="","",IF(L380&lt;0,"Expired",IF(L380&lt;=30,"⚠ Due in 30 Days",IF(L380&lt;=60,"Upcoming (60 Days)","Active"))))</f>
        <v/>
      </c>
      <c r="P380" s="3">
        <f>IF(G380="Monthly",H380*12,IF(G380="Quarterly",H380*4,IF(G380="Annual",H380,IF(G380="Multi-Year",H380/2,H380))))</f>
        <v/>
      </c>
    </row>
    <row r="381">
      <c r="E381" s="2" t="n"/>
      <c r="F381" s="2" t="n"/>
      <c r="H381" s="3" t="n"/>
      <c r="K381" s="2">
        <f>IF(F381="","",F381-J381)</f>
        <v/>
      </c>
      <c r="L381">
        <f>IF(F381="","",F381-TODAY())</f>
        <v/>
      </c>
      <c r="M381">
        <f>IF(F381="","",IF(L381&lt;0,"Expired",IF(L381&lt;=30,"⚠ Due in 30 Days",IF(L381&lt;=60,"Upcoming (60 Days)","Active"))))</f>
        <v/>
      </c>
      <c r="P381" s="3">
        <f>IF(G381="Monthly",H381*12,IF(G381="Quarterly",H381*4,IF(G381="Annual",H381,IF(G381="Multi-Year",H381/2,H381))))</f>
        <v/>
      </c>
    </row>
    <row r="382">
      <c r="E382" s="2" t="n"/>
      <c r="F382" s="2" t="n"/>
      <c r="H382" s="3" t="n"/>
      <c r="K382" s="2">
        <f>IF(F382="","",F382-J382)</f>
        <v/>
      </c>
      <c r="L382">
        <f>IF(F382="","",F382-TODAY())</f>
        <v/>
      </c>
      <c r="M382">
        <f>IF(F382="","",IF(L382&lt;0,"Expired",IF(L382&lt;=30,"⚠ Due in 30 Days",IF(L382&lt;=60,"Upcoming (60 Days)","Active"))))</f>
        <v/>
      </c>
      <c r="P382" s="3">
        <f>IF(G382="Monthly",H382*12,IF(G382="Quarterly",H382*4,IF(G382="Annual",H382,IF(G382="Multi-Year",H382/2,H382))))</f>
        <v/>
      </c>
    </row>
    <row r="383">
      <c r="E383" s="2" t="n"/>
      <c r="F383" s="2" t="n"/>
      <c r="H383" s="3" t="n"/>
      <c r="K383" s="2">
        <f>IF(F383="","",F383-J383)</f>
        <v/>
      </c>
      <c r="L383">
        <f>IF(F383="","",F383-TODAY())</f>
        <v/>
      </c>
      <c r="M383">
        <f>IF(F383="","",IF(L383&lt;0,"Expired",IF(L383&lt;=30,"⚠ Due in 30 Days",IF(L383&lt;=60,"Upcoming (60 Days)","Active"))))</f>
        <v/>
      </c>
      <c r="P383" s="3">
        <f>IF(G383="Monthly",H383*12,IF(G383="Quarterly",H383*4,IF(G383="Annual",H383,IF(G383="Multi-Year",H383/2,H383))))</f>
        <v/>
      </c>
    </row>
    <row r="384">
      <c r="E384" s="2" t="n"/>
      <c r="F384" s="2" t="n"/>
      <c r="H384" s="3" t="n"/>
      <c r="K384" s="2">
        <f>IF(F384="","",F384-J384)</f>
        <v/>
      </c>
      <c r="L384">
        <f>IF(F384="","",F384-TODAY())</f>
        <v/>
      </c>
      <c r="M384">
        <f>IF(F384="","",IF(L384&lt;0,"Expired",IF(L384&lt;=30,"⚠ Due in 30 Days",IF(L384&lt;=60,"Upcoming (60 Days)","Active"))))</f>
        <v/>
      </c>
      <c r="P384" s="3">
        <f>IF(G384="Monthly",H384*12,IF(G384="Quarterly",H384*4,IF(G384="Annual",H384,IF(G384="Multi-Year",H384/2,H384))))</f>
        <v/>
      </c>
    </row>
    <row r="385">
      <c r="E385" s="2" t="n"/>
      <c r="F385" s="2" t="n"/>
      <c r="H385" s="3" t="n"/>
      <c r="K385" s="2">
        <f>IF(F385="","",F385-J385)</f>
        <v/>
      </c>
      <c r="L385">
        <f>IF(F385="","",F385-TODAY())</f>
        <v/>
      </c>
      <c r="M385">
        <f>IF(F385="","",IF(L385&lt;0,"Expired",IF(L385&lt;=30,"⚠ Due in 30 Days",IF(L385&lt;=60,"Upcoming (60 Days)","Active"))))</f>
        <v/>
      </c>
      <c r="P385" s="3">
        <f>IF(G385="Monthly",H385*12,IF(G385="Quarterly",H385*4,IF(G385="Annual",H385,IF(G385="Multi-Year",H385/2,H385))))</f>
        <v/>
      </c>
    </row>
    <row r="386">
      <c r="E386" s="2" t="n"/>
      <c r="F386" s="2" t="n"/>
      <c r="H386" s="3" t="n"/>
      <c r="K386" s="2">
        <f>IF(F386="","",F386-J386)</f>
        <v/>
      </c>
      <c r="L386">
        <f>IF(F386="","",F386-TODAY())</f>
        <v/>
      </c>
      <c r="M386">
        <f>IF(F386="","",IF(L386&lt;0,"Expired",IF(L386&lt;=30,"⚠ Due in 30 Days",IF(L386&lt;=60,"Upcoming (60 Days)","Active"))))</f>
        <v/>
      </c>
      <c r="P386" s="3">
        <f>IF(G386="Monthly",H386*12,IF(G386="Quarterly",H386*4,IF(G386="Annual",H386,IF(G386="Multi-Year",H386/2,H386))))</f>
        <v/>
      </c>
    </row>
    <row r="387">
      <c r="E387" s="2" t="n"/>
      <c r="F387" s="2" t="n"/>
      <c r="H387" s="3" t="n"/>
      <c r="K387" s="2">
        <f>IF(F387="","",F387-J387)</f>
        <v/>
      </c>
      <c r="L387">
        <f>IF(F387="","",F387-TODAY())</f>
        <v/>
      </c>
      <c r="M387">
        <f>IF(F387="","",IF(L387&lt;0,"Expired",IF(L387&lt;=30,"⚠ Due in 30 Days",IF(L387&lt;=60,"Upcoming (60 Days)","Active"))))</f>
        <v/>
      </c>
      <c r="P387" s="3">
        <f>IF(G387="Monthly",H387*12,IF(G387="Quarterly",H387*4,IF(G387="Annual",H387,IF(G387="Multi-Year",H387/2,H387))))</f>
        <v/>
      </c>
    </row>
    <row r="388">
      <c r="E388" s="2" t="n"/>
      <c r="F388" s="2" t="n"/>
      <c r="H388" s="3" t="n"/>
      <c r="K388" s="2">
        <f>IF(F388="","",F388-J388)</f>
        <v/>
      </c>
      <c r="L388">
        <f>IF(F388="","",F388-TODAY())</f>
        <v/>
      </c>
      <c r="M388">
        <f>IF(F388="","",IF(L388&lt;0,"Expired",IF(L388&lt;=30,"⚠ Due in 30 Days",IF(L388&lt;=60,"Upcoming (60 Days)","Active"))))</f>
        <v/>
      </c>
      <c r="P388" s="3">
        <f>IF(G388="Monthly",H388*12,IF(G388="Quarterly",H388*4,IF(G388="Annual",H388,IF(G388="Multi-Year",H388/2,H388))))</f>
        <v/>
      </c>
    </row>
    <row r="389">
      <c r="E389" s="2" t="n"/>
      <c r="F389" s="2" t="n"/>
      <c r="H389" s="3" t="n"/>
      <c r="K389" s="2">
        <f>IF(F389="","",F389-J389)</f>
        <v/>
      </c>
      <c r="L389">
        <f>IF(F389="","",F389-TODAY())</f>
        <v/>
      </c>
      <c r="M389">
        <f>IF(F389="","",IF(L389&lt;0,"Expired",IF(L389&lt;=30,"⚠ Due in 30 Days",IF(L389&lt;=60,"Upcoming (60 Days)","Active"))))</f>
        <v/>
      </c>
      <c r="P389" s="3">
        <f>IF(G389="Monthly",H389*12,IF(G389="Quarterly",H389*4,IF(G389="Annual",H389,IF(G389="Multi-Year",H389/2,H389))))</f>
        <v/>
      </c>
    </row>
    <row r="390">
      <c r="E390" s="2" t="n"/>
      <c r="F390" s="2" t="n"/>
      <c r="H390" s="3" t="n"/>
      <c r="K390" s="2">
        <f>IF(F390="","",F390-J390)</f>
        <v/>
      </c>
      <c r="L390">
        <f>IF(F390="","",F390-TODAY())</f>
        <v/>
      </c>
      <c r="M390">
        <f>IF(F390="","",IF(L390&lt;0,"Expired",IF(L390&lt;=30,"⚠ Due in 30 Days",IF(L390&lt;=60,"Upcoming (60 Days)","Active"))))</f>
        <v/>
      </c>
      <c r="P390" s="3">
        <f>IF(G390="Monthly",H390*12,IF(G390="Quarterly",H390*4,IF(G390="Annual",H390,IF(G390="Multi-Year",H390/2,H390))))</f>
        <v/>
      </c>
    </row>
    <row r="391">
      <c r="E391" s="2" t="n"/>
      <c r="F391" s="2" t="n"/>
      <c r="H391" s="3" t="n"/>
      <c r="K391" s="2">
        <f>IF(F391="","",F391-J391)</f>
        <v/>
      </c>
      <c r="L391">
        <f>IF(F391="","",F391-TODAY())</f>
        <v/>
      </c>
      <c r="M391">
        <f>IF(F391="","",IF(L391&lt;0,"Expired",IF(L391&lt;=30,"⚠ Due in 30 Days",IF(L391&lt;=60,"Upcoming (60 Days)","Active"))))</f>
        <v/>
      </c>
      <c r="P391" s="3">
        <f>IF(G391="Monthly",H391*12,IF(G391="Quarterly",H391*4,IF(G391="Annual",H391,IF(G391="Multi-Year",H391/2,H391))))</f>
        <v/>
      </c>
    </row>
    <row r="392">
      <c r="E392" s="2" t="n"/>
      <c r="F392" s="2" t="n"/>
      <c r="H392" s="3" t="n"/>
      <c r="K392" s="2">
        <f>IF(F392="","",F392-J392)</f>
        <v/>
      </c>
      <c r="L392">
        <f>IF(F392="","",F392-TODAY())</f>
        <v/>
      </c>
      <c r="M392">
        <f>IF(F392="","",IF(L392&lt;0,"Expired",IF(L392&lt;=30,"⚠ Due in 30 Days",IF(L392&lt;=60,"Upcoming (60 Days)","Active"))))</f>
        <v/>
      </c>
      <c r="P392" s="3">
        <f>IF(G392="Monthly",H392*12,IF(G392="Quarterly",H392*4,IF(G392="Annual",H392,IF(G392="Multi-Year",H392/2,H392))))</f>
        <v/>
      </c>
    </row>
    <row r="393">
      <c r="E393" s="2" t="n"/>
      <c r="F393" s="2" t="n"/>
      <c r="H393" s="3" t="n"/>
      <c r="K393" s="2">
        <f>IF(F393="","",F393-J393)</f>
        <v/>
      </c>
      <c r="L393">
        <f>IF(F393="","",F393-TODAY())</f>
        <v/>
      </c>
      <c r="M393">
        <f>IF(F393="","",IF(L393&lt;0,"Expired",IF(L393&lt;=30,"⚠ Due in 30 Days",IF(L393&lt;=60,"Upcoming (60 Days)","Active"))))</f>
        <v/>
      </c>
      <c r="P393" s="3">
        <f>IF(G393="Monthly",H393*12,IF(G393="Quarterly",H393*4,IF(G393="Annual",H393,IF(G393="Multi-Year",H393/2,H393))))</f>
        <v/>
      </c>
    </row>
    <row r="394">
      <c r="E394" s="2" t="n"/>
      <c r="F394" s="2" t="n"/>
      <c r="H394" s="3" t="n"/>
      <c r="K394" s="2">
        <f>IF(F394="","",F394-J394)</f>
        <v/>
      </c>
      <c r="L394">
        <f>IF(F394="","",F394-TODAY())</f>
        <v/>
      </c>
      <c r="M394">
        <f>IF(F394="","",IF(L394&lt;0,"Expired",IF(L394&lt;=30,"⚠ Due in 30 Days",IF(L394&lt;=60,"Upcoming (60 Days)","Active"))))</f>
        <v/>
      </c>
      <c r="P394" s="3">
        <f>IF(G394="Monthly",H394*12,IF(G394="Quarterly",H394*4,IF(G394="Annual",H394,IF(G394="Multi-Year",H394/2,H394))))</f>
        <v/>
      </c>
    </row>
    <row r="395">
      <c r="E395" s="2" t="n"/>
      <c r="F395" s="2" t="n"/>
      <c r="H395" s="3" t="n"/>
      <c r="K395" s="2">
        <f>IF(F395="","",F395-J395)</f>
        <v/>
      </c>
      <c r="L395">
        <f>IF(F395="","",F395-TODAY())</f>
        <v/>
      </c>
      <c r="M395">
        <f>IF(F395="","",IF(L395&lt;0,"Expired",IF(L395&lt;=30,"⚠ Due in 30 Days",IF(L395&lt;=60,"Upcoming (60 Days)","Active"))))</f>
        <v/>
      </c>
      <c r="P395" s="3">
        <f>IF(G395="Monthly",H395*12,IF(G395="Quarterly",H395*4,IF(G395="Annual",H395,IF(G395="Multi-Year",H395/2,H395))))</f>
        <v/>
      </c>
    </row>
    <row r="396">
      <c r="E396" s="2" t="n"/>
      <c r="F396" s="2" t="n"/>
      <c r="H396" s="3" t="n"/>
      <c r="K396" s="2">
        <f>IF(F396="","",F396-J396)</f>
        <v/>
      </c>
      <c r="L396">
        <f>IF(F396="","",F396-TODAY())</f>
        <v/>
      </c>
      <c r="M396">
        <f>IF(F396="","",IF(L396&lt;0,"Expired",IF(L396&lt;=30,"⚠ Due in 30 Days",IF(L396&lt;=60,"Upcoming (60 Days)","Active"))))</f>
        <v/>
      </c>
      <c r="P396" s="3">
        <f>IF(G396="Monthly",H396*12,IF(G396="Quarterly",H396*4,IF(G396="Annual",H396,IF(G396="Multi-Year",H396/2,H396))))</f>
        <v/>
      </c>
    </row>
    <row r="397">
      <c r="E397" s="2" t="n"/>
      <c r="F397" s="2" t="n"/>
      <c r="H397" s="3" t="n"/>
      <c r="K397" s="2">
        <f>IF(F397="","",F397-J397)</f>
        <v/>
      </c>
      <c r="L397">
        <f>IF(F397="","",F397-TODAY())</f>
        <v/>
      </c>
      <c r="M397">
        <f>IF(F397="","",IF(L397&lt;0,"Expired",IF(L397&lt;=30,"⚠ Due in 30 Days",IF(L397&lt;=60,"Upcoming (60 Days)","Active"))))</f>
        <v/>
      </c>
      <c r="P397" s="3">
        <f>IF(G397="Monthly",H397*12,IF(G397="Quarterly",H397*4,IF(G397="Annual",H397,IF(G397="Multi-Year",H397/2,H397))))</f>
        <v/>
      </c>
    </row>
    <row r="398">
      <c r="E398" s="2" t="n"/>
      <c r="F398" s="2" t="n"/>
      <c r="H398" s="3" t="n"/>
      <c r="K398" s="2">
        <f>IF(F398="","",F398-J398)</f>
        <v/>
      </c>
      <c r="L398">
        <f>IF(F398="","",F398-TODAY())</f>
        <v/>
      </c>
      <c r="M398">
        <f>IF(F398="","",IF(L398&lt;0,"Expired",IF(L398&lt;=30,"⚠ Due in 30 Days",IF(L398&lt;=60,"Upcoming (60 Days)","Active"))))</f>
        <v/>
      </c>
      <c r="P398" s="3">
        <f>IF(G398="Monthly",H398*12,IF(G398="Quarterly",H398*4,IF(G398="Annual",H398,IF(G398="Multi-Year",H398/2,H398))))</f>
        <v/>
      </c>
    </row>
    <row r="399">
      <c r="E399" s="2" t="n"/>
      <c r="F399" s="2" t="n"/>
      <c r="H399" s="3" t="n"/>
      <c r="K399" s="2">
        <f>IF(F399="","",F399-J399)</f>
        <v/>
      </c>
      <c r="L399">
        <f>IF(F399="","",F399-TODAY())</f>
        <v/>
      </c>
      <c r="M399">
        <f>IF(F399="","",IF(L399&lt;0,"Expired",IF(L399&lt;=30,"⚠ Due in 30 Days",IF(L399&lt;=60,"Upcoming (60 Days)","Active"))))</f>
        <v/>
      </c>
      <c r="P399" s="3">
        <f>IF(G399="Monthly",H399*12,IF(G399="Quarterly",H399*4,IF(G399="Annual",H399,IF(G399="Multi-Year",H399/2,H399))))</f>
        <v/>
      </c>
    </row>
    <row r="400">
      <c r="E400" s="2" t="n"/>
      <c r="F400" s="2" t="n"/>
      <c r="H400" s="3" t="n"/>
      <c r="K400" s="2">
        <f>IF(F400="","",F400-J400)</f>
        <v/>
      </c>
      <c r="L400">
        <f>IF(F400="","",F400-TODAY())</f>
        <v/>
      </c>
      <c r="M400">
        <f>IF(F400="","",IF(L400&lt;0,"Expired",IF(L400&lt;=30,"⚠ Due in 30 Days",IF(L400&lt;=60,"Upcoming (60 Days)","Active"))))</f>
        <v/>
      </c>
      <c r="P400" s="3">
        <f>IF(G400="Monthly",H400*12,IF(G400="Quarterly",H400*4,IF(G400="Annual",H400,IF(G400="Multi-Year",H400/2,H400))))</f>
        <v/>
      </c>
    </row>
    <row r="401">
      <c r="E401" s="2" t="n"/>
      <c r="F401" s="2" t="n"/>
      <c r="H401" s="3" t="n"/>
      <c r="K401" s="2">
        <f>IF(F401="","",F401-J401)</f>
        <v/>
      </c>
      <c r="L401">
        <f>IF(F401="","",F401-TODAY())</f>
        <v/>
      </c>
      <c r="M401">
        <f>IF(F401="","",IF(L401&lt;0,"Expired",IF(L401&lt;=30,"⚠ Due in 30 Days",IF(L401&lt;=60,"Upcoming (60 Days)","Active"))))</f>
        <v/>
      </c>
      <c r="P401" s="3">
        <f>IF(G401="Monthly",H401*12,IF(G401="Quarterly",H401*4,IF(G401="Annual",H401,IF(G401="Multi-Year",H401/2,H401))))</f>
        <v/>
      </c>
    </row>
    <row r="402">
      <c r="E402" s="2" t="n"/>
      <c r="F402" s="2" t="n"/>
      <c r="H402" s="3" t="n"/>
      <c r="K402" s="2">
        <f>IF(F402="","",F402-J402)</f>
        <v/>
      </c>
      <c r="L402">
        <f>IF(F402="","",F402-TODAY())</f>
        <v/>
      </c>
      <c r="M402">
        <f>IF(F402="","",IF(L402&lt;0,"Expired",IF(L402&lt;=30,"⚠ Due in 30 Days",IF(L402&lt;=60,"Upcoming (60 Days)","Active"))))</f>
        <v/>
      </c>
      <c r="P402" s="3">
        <f>IF(G402="Monthly",H402*12,IF(G402="Quarterly",H402*4,IF(G402="Annual",H402,IF(G402="Multi-Year",H402/2,H402))))</f>
        <v/>
      </c>
    </row>
    <row r="403">
      <c r="E403" s="2" t="n"/>
      <c r="F403" s="2" t="n"/>
      <c r="H403" s="3" t="n"/>
      <c r="K403" s="2">
        <f>IF(F403="","",F403-J403)</f>
        <v/>
      </c>
      <c r="L403">
        <f>IF(F403="","",F403-TODAY())</f>
        <v/>
      </c>
      <c r="M403">
        <f>IF(F403="","",IF(L403&lt;0,"Expired",IF(L403&lt;=30,"⚠ Due in 30 Days",IF(L403&lt;=60,"Upcoming (60 Days)","Active"))))</f>
        <v/>
      </c>
      <c r="P403" s="3">
        <f>IF(G403="Monthly",H403*12,IF(G403="Quarterly",H403*4,IF(G403="Annual",H403,IF(G403="Multi-Year",H403/2,H403))))</f>
        <v/>
      </c>
    </row>
    <row r="404">
      <c r="E404" s="2" t="n"/>
      <c r="F404" s="2" t="n"/>
      <c r="H404" s="3" t="n"/>
      <c r="K404" s="2">
        <f>IF(F404="","",F404-J404)</f>
        <v/>
      </c>
      <c r="L404">
        <f>IF(F404="","",F404-TODAY())</f>
        <v/>
      </c>
      <c r="M404">
        <f>IF(F404="","",IF(L404&lt;0,"Expired",IF(L404&lt;=30,"⚠ Due in 30 Days",IF(L404&lt;=60,"Upcoming (60 Days)","Active"))))</f>
        <v/>
      </c>
      <c r="P404" s="3">
        <f>IF(G404="Monthly",H404*12,IF(G404="Quarterly",H404*4,IF(G404="Annual",H404,IF(G404="Multi-Year",H404/2,H404))))</f>
        <v/>
      </c>
    </row>
    <row r="405">
      <c r="E405" s="2" t="n"/>
      <c r="F405" s="2" t="n"/>
      <c r="H405" s="3" t="n"/>
      <c r="K405" s="2">
        <f>IF(F405="","",F405-J405)</f>
        <v/>
      </c>
      <c r="L405">
        <f>IF(F405="","",F405-TODAY())</f>
        <v/>
      </c>
      <c r="M405">
        <f>IF(F405="","",IF(L405&lt;0,"Expired",IF(L405&lt;=30,"⚠ Due in 30 Days",IF(L405&lt;=60,"Upcoming (60 Days)","Active"))))</f>
        <v/>
      </c>
      <c r="P405" s="3">
        <f>IF(G405="Monthly",H405*12,IF(G405="Quarterly",H405*4,IF(G405="Annual",H405,IF(G405="Multi-Year",H405/2,H405))))</f>
        <v/>
      </c>
    </row>
    <row r="406">
      <c r="E406" s="2" t="n"/>
      <c r="F406" s="2" t="n"/>
      <c r="H406" s="3" t="n"/>
      <c r="K406" s="2">
        <f>IF(F406="","",F406-J406)</f>
        <v/>
      </c>
      <c r="L406">
        <f>IF(F406="","",F406-TODAY())</f>
        <v/>
      </c>
      <c r="M406">
        <f>IF(F406="","",IF(L406&lt;0,"Expired",IF(L406&lt;=30,"⚠ Due in 30 Days",IF(L406&lt;=60,"Upcoming (60 Days)","Active"))))</f>
        <v/>
      </c>
      <c r="P406" s="3">
        <f>IF(G406="Monthly",H406*12,IF(G406="Quarterly",H406*4,IF(G406="Annual",H406,IF(G406="Multi-Year",H406/2,H406))))</f>
        <v/>
      </c>
    </row>
    <row r="407">
      <c r="E407" s="2" t="n"/>
      <c r="F407" s="2" t="n"/>
      <c r="H407" s="3" t="n"/>
      <c r="K407" s="2">
        <f>IF(F407="","",F407-J407)</f>
        <v/>
      </c>
      <c r="L407">
        <f>IF(F407="","",F407-TODAY())</f>
        <v/>
      </c>
      <c r="M407">
        <f>IF(F407="","",IF(L407&lt;0,"Expired",IF(L407&lt;=30,"⚠ Due in 30 Days",IF(L407&lt;=60,"Upcoming (60 Days)","Active"))))</f>
        <v/>
      </c>
      <c r="P407" s="3">
        <f>IF(G407="Monthly",H407*12,IF(G407="Quarterly",H407*4,IF(G407="Annual",H407,IF(G407="Multi-Year",H407/2,H407))))</f>
        <v/>
      </c>
    </row>
    <row r="408">
      <c r="E408" s="2" t="n"/>
      <c r="F408" s="2" t="n"/>
      <c r="H408" s="3" t="n"/>
      <c r="K408" s="2">
        <f>IF(F408="","",F408-J408)</f>
        <v/>
      </c>
      <c r="L408">
        <f>IF(F408="","",F408-TODAY())</f>
        <v/>
      </c>
      <c r="M408">
        <f>IF(F408="","",IF(L408&lt;0,"Expired",IF(L408&lt;=30,"⚠ Due in 30 Days",IF(L408&lt;=60,"Upcoming (60 Days)","Active"))))</f>
        <v/>
      </c>
      <c r="P408" s="3">
        <f>IF(G408="Monthly",H408*12,IF(G408="Quarterly",H408*4,IF(G408="Annual",H408,IF(G408="Multi-Year",H408/2,H408))))</f>
        <v/>
      </c>
    </row>
    <row r="409">
      <c r="E409" s="2" t="n"/>
      <c r="F409" s="2" t="n"/>
      <c r="H409" s="3" t="n"/>
      <c r="K409" s="2">
        <f>IF(F409="","",F409-J409)</f>
        <v/>
      </c>
      <c r="L409">
        <f>IF(F409="","",F409-TODAY())</f>
        <v/>
      </c>
      <c r="M409">
        <f>IF(F409="","",IF(L409&lt;0,"Expired",IF(L409&lt;=30,"⚠ Due in 30 Days",IF(L409&lt;=60,"Upcoming (60 Days)","Active"))))</f>
        <v/>
      </c>
      <c r="P409" s="3">
        <f>IF(G409="Monthly",H409*12,IF(G409="Quarterly",H409*4,IF(G409="Annual",H409,IF(G409="Multi-Year",H409/2,H409))))</f>
        <v/>
      </c>
    </row>
    <row r="410">
      <c r="E410" s="2" t="n"/>
      <c r="F410" s="2" t="n"/>
      <c r="H410" s="3" t="n"/>
      <c r="K410" s="2">
        <f>IF(F410="","",F410-J410)</f>
        <v/>
      </c>
      <c r="L410">
        <f>IF(F410="","",F410-TODAY())</f>
        <v/>
      </c>
      <c r="M410">
        <f>IF(F410="","",IF(L410&lt;0,"Expired",IF(L410&lt;=30,"⚠ Due in 30 Days",IF(L410&lt;=60,"Upcoming (60 Days)","Active"))))</f>
        <v/>
      </c>
      <c r="P410" s="3">
        <f>IF(G410="Monthly",H410*12,IF(G410="Quarterly",H410*4,IF(G410="Annual",H410,IF(G410="Multi-Year",H410/2,H410))))</f>
        <v/>
      </c>
    </row>
    <row r="411">
      <c r="E411" s="2" t="n"/>
      <c r="F411" s="2" t="n"/>
      <c r="H411" s="3" t="n"/>
      <c r="K411" s="2">
        <f>IF(F411="","",F411-J411)</f>
        <v/>
      </c>
      <c r="L411">
        <f>IF(F411="","",F411-TODAY())</f>
        <v/>
      </c>
      <c r="M411">
        <f>IF(F411="","",IF(L411&lt;0,"Expired",IF(L411&lt;=30,"⚠ Due in 30 Days",IF(L411&lt;=60,"Upcoming (60 Days)","Active"))))</f>
        <v/>
      </c>
      <c r="P411" s="3">
        <f>IF(G411="Monthly",H411*12,IF(G411="Quarterly",H411*4,IF(G411="Annual",H411,IF(G411="Multi-Year",H411/2,H411))))</f>
        <v/>
      </c>
    </row>
    <row r="412">
      <c r="E412" s="2" t="n"/>
      <c r="F412" s="2" t="n"/>
      <c r="H412" s="3" t="n"/>
      <c r="K412" s="2">
        <f>IF(F412="","",F412-J412)</f>
        <v/>
      </c>
      <c r="L412">
        <f>IF(F412="","",F412-TODAY())</f>
        <v/>
      </c>
      <c r="M412">
        <f>IF(F412="","",IF(L412&lt;0,"Expired",IF(L412&lt;=30,"⚠ Due in 30 Days",IF(L412&lt;=60,"Upcoming (60 Days)","Active"))))</f>
        <v/>
      </c>
      <c r="P412" s="3">
        <f>IF(G412="Monthly",H412*12,IF(G412="Quarterly",H412*4,IF(G412="Annual",H412,IF(G412="Multi-Year",H412/2,H412))))</f>
        <v/>
      </c>
    </row>
    <row r="413">
      <c r="E413" s="2" t="n"/>
      <c r="F413" s="2" t="n"/>
      <c r="H413" s="3" t="n"/>
      <c r="K413" s="2">
        <f>IF(F413="","",F413-J413)</f>
        <v/>
      </c>
      <c r="L413">
        <f>IF(F413="","",F413-TODAY())</f>
        <v/>
      </c>
      <c r="M413">
        <f>IF(F413="","",IF(L413&lt;0,"Expired",IF(L413&lt;=30,"⚠ Due in 30 Days",IF(L413&lt;=60,"Upcoming (60 Days)","Active"))))</f>
        <v/>
      </c>
      <c r="P413" s="3">
        <f>IF(G413="Monthly",H413*12,IF(G413="Quarterly",H413*4,IF(G413="Annual",H413,IF(G413="Multi-Year",H413/2,H413))))</f>
        <v/>
      </c>
    </row>
    <row r="414">
      <c r="E414" s="2" t="n"/>
      <c r="F414" s="2" t="n"/>
      <c r="H414" s="3" t="n"/>
      <c r="K414" s="2">
        <f>IF(F414="","",F414-J414)</f>
        <v/>
      </c>
      <c r="L414">
        <f>IF(F414="","",F414-TODAY())</f>
        <v/>
      </c>
      <c r="M414">
        <f>IF(F414="","",IF(L414&lt;0,"Expired",IF(L414&lt;=30,"⚠ Due in 30 Days",IF(L414&lt;=60,"Upcoming (60 Days)","Active"))))</f>
        <v/>
      </c>
      <c r="P414" s="3">
        <f>IF(G414="Monthly",H414*12,IF(G414="Quarterly",H414*4,IF(G414="Annual",H414,IF(G414="Multi-Year",H414/2,H414))))</f>
        <v/>
      </c>
    </row>
    <row r="415">
      <c r="E415" s="2" t="n"/>
      <c r="F415" s="2" t="n"/>
      <c r="H415" s="3" t="n"/>
      <c r="K415" s="2">
        <f>IF(F415="","",F415-J415)</f>
        <v/>
      </c>
      <c r="L415">
        <f>IF(F415="","",F415-TODAY())</f>
        <v/>
      </c>
      <c r="M415">
        <f>IF(F415="","",IF(L415&lt;0,"Expired",IF(L415&lt;=30,"⚠ Due in 30 Days",IF(L415&lt;=60,"Upcoming (60 Days)","Active"))))</f>
        <v/>
      </c>
      <c r="P415" s="3">
        <f>IF(G415="Monthly",H415*12,IF(G415="Quarterly",H415*4,IF(G415="Annual",H415,IF(G415="Multi-Year",H415/2,H415))))</f>
        <v/>
      </c>
    </row>
    <row r="416">
      <c r="E416" s="2" t="n"/>
      <c r="F416" s="2" t="n"/>
      <c r="H416" s="3" t="n"/>
      <c r="K416" s="2">
        <f>IF(F416="","",F416-J416)</f>
        <v/>
      </c>
      <c r="L416">
        <f>IF(F416="","",F416-TODAY())</f>
        <v/>
      </c>
      <c r="M416">
        <f>IF(F416="","",IF(L416&lt;0,"Expired",IF(L416&lt;=30,"⚠ Due in 30 Days",IF(L416&lt;=60,"Upcoming (60 Days)","Active"))))</f>
        <v/>
      </c>
      <c r="P416" s="3">
        <f>IF(G416="Monthly",H416*12,IF(G416="Quarterly",H416*4,IF(G416="Annual",H416,IF(G416="Multi-Year",H416/2,H416))))</f>
        <v/>
      </c>
    </row>
    <row r="417">
      <c r="E417" s="2" t="n"/>
      <c r="F417" s="2" t="n"/>
      <c r="H417" s="3" t="n"/>
      <c r="K417" s="2">
        <f>IF(F417="","",F417-J417)</f>
        <v/>
      </c>
      <c r="L417">
        <f>IF(F417="","",F417-TODAY())</f>
        <v/>
      </c>
      <c r="M417">
        <f>IF(F417="","",IF(L417&lt;0,"Expired",IF(L417&lt;=30,"⚠ Due in 30 Days",IF(L417&lt;=60,"Upcoming (60 Days)","Active"))))</f>
        <v/>
      </c>
      <c r="P417" s="3">
        <f>IF(G417="Monthly",H417*12,IF(G417="Quarterly",H417*4,IF(G417="Annual",H417,IF(G417="Multi-Year",H417/2,H417))))</f>
        <v/>
      </c>
    </row>
    <row r="418">
      <c r="E418" s="2" t="n"/>
      <c r="F418" s="2" t="n"/>
      <c r="H418" s="3" t="n"/>
      <c r="K418" s="2">
        <f>IF(F418="","",F418-J418)</f>
        <v/>
      </c>
      <c r="L418">
        <f>IF(F418="","",F418-TODAY())</f>
        <v/>
      </c>
      <c r="M418">
        <f>IF(F418="","",IF(L418&lt;0,"Expired",IF(L418&lt;=30,"⚠ Due in 30 Days",IF(L418&lt;=60,"Upcoming (60 Days)","Active"))))</f>
        <v/>
      </c>
      <c r="P418" s="3">
        <f>IF(G418="Monthly",H418*12,IF(G418="Quarterly",H418*4,IF(G418="Annual",H418,IF(G418="Multi-Year",H418/2,H418))))</f>
        <v/>
      </c>
    </row>
    <row r="419">
      <c r="E419" s="2" t="n"/>
      <c r="F419" s="2" t="n"/>
      <c r="H419" s="3" t="n"/>
      <c r="K419" s="2">
        <f>IF(F419="","",F419-J419)</f>
        <v/>
      </c>
      <c r="L419">
        <f>IF(F419="","",F419-TODAY())</f>
        <v/>
      </c>
      <c r="M419">
        <f>IF(F419="","",IF(L419&lt;0,"Expired",IF(L419&lt;=30,"⚠ Due in 30 Days",IF(L419&lt;=60,"Upcoming (60 Days)","Active"))))</f>
        <v/>
      </c>
      <c r="P419" s="3">
        <f>IF(G419="Monthly",H419*12,IF(G419="Quarterly",H419*4,IF(G419="Annual",H419,IF(G419="Multi-Year",H419/2,H419))))</f>
        <v/>
      </c>
    </row>
    <row r="420">
      <c r="E420" s="2" t="n"/>
      <c r="F420" s="2" t="n"/>
      <c r="H420" s="3" t="n"/>
      <c r="K420" s="2">
        <f>IF(F420="","",F420-J420)</f>
        <v/>
      </c>
      <c r="L420">
        <f>IF(F420="","",F420-TODAY())</f>
        <v/>
      </c>
      <c r="M420">
        <f>IF(F420="","",IF(L420&lt;0,"Expired",IF(L420&lt;=30,"⚠ Due in 30 Days",IF(L420&lt;=60,"Upcoming (60 Days)","Active"))))</f>
        <v/>
      </c>
      <c r="P420" s="3">
        <f>IF(G420="Monthly",H420*12,IF(G420="Quarterly",H420*4,IF(G420="Annual",H420,IF(G420="Multi-Year",H420/2,H420))))</f>
        <v/>
      </c>
    </row>
    <row r="421">
      <c r="E421" s="2" t="n"/>
      <c r="F421" s="2" t="n"/>
      <c r="H421" s="3" t="n"/>
      <c r="K421" s="2">
        <f>IF(F421="","",F421-J421)</f>
        <v/>
      </c>
      <c r="L421">
        <f>IF(F421="","",F421-TODAY())</f>
        <v/>
      </c>
      <c r="M421">
        <f>IF(F421="","",IF(L421&lt;0,"Expired",IF(L421&lt;=30,"⚠ Due in 30 Days",IF(L421&lt;=60,"Upcoming (60 Days)","Active"))))</f>
        <v/>
      </c>
      <c r="P421" s="3">
        <f>IF(G421="Monthly",H421*12,IF(G421="Quarterly",H421*4,IF(G421="Annual",H421,IF(G421="Multi-Year",H421/2,H421))))</f>
        <v/>
      </c>
    </row>
    <row r="422">
      <c r="E422" s="2" t="n"/>
      <c r="F422" s="2" t="n"/>
      <c r="H422" s="3" t="n"/>
      <c r="K422" s="2">
        <f>IF(F422="","",F422-J422)</f>
        <v/>
      </c>
      <c r="L422">
        <f>IF(F422="","",F422-TODAY())</f>
        <v/>
      </c>
      <c r="M422">
        <f>IF(F422="","",IF(L422&lt;0,"Expired",IF(L422&lt;=30,"⚠ Due in 30 Days",IF(L422&lt;=60,"Upcoming (60 Days)","Active"))))</f>
        <v/>
      </c>
      <c r="P422" s="3">
        <f>IF(G422="Monthly",H422*12,IF(G422="Quarterly",H422*4,IF(G422="Annual",H422,IF(G422="Multi-Year",H422/2,H422))))</f>
        <v/>
      </c>
    </row>
    <row r="423">
      <c r="E423" s="2" t="n"/>
      <c r="F423" s="2" t="n"/>
      <c r="H423" s="3" t="n"/>
      <c r="K423" s="2">
        <f>IF(F423="","",F423-J423)</f>
        <v/>
      </c>
      <c r="L423">
        <f>IF(F423="","",F423-TODAY())</f>
        <v/>
      </c>
      <c r="M423">
        <f>IF(F423="","",IF(L423&lt;0,"Expired",IF(L423&lt;=30,"⚠ Due in 30 Days",IF(L423&lt;=60,"Upcoming (60 Days)","Active"))))</f>
        <v/>
      </c>
      <c r="P423" s="3">
        <f>IF(G423="Monthly",H423*12,IF(G423="Quarterly",H423*4,IF(G423="Annual",H423,IF(G423="Multi-Year",H423/2,H423))))</f>
        <v/>
      </c>
    </row>
    <row r="424">
      <c r="E424" s="2" t="n"/>
      <c r="F424" s="2" t="n"/>
      <c r="H424" s="3" t="n"/>
      <c r="K424" s="2">
        <f>IF(F424="","",F424-J424)</f>
        <v/>
      </c>
      <c r="L424">
        <f>IF(F424="","",F424-TODAY())</f>
        <v/>
      </c>
      <c r="M424">
        <f>IF(F424="","",IF(L424&lt;0,"Expired",IF(L424&lt;=30,"⚠ Due in 30 Days",IF(L424&lt;=60,"Upcoming (60 Days)","Active"))))</f>
        <v/>
      </c>
      <c r="P424" s="3">
        <f>IF(G424="Monthly",H424*12,IF(G424="Quarterly",H424*4,IF(G424="Annual",H424,IF(G424="Multi-Year",H424/2,H424))))</f>
        <v/>
      </c>
    </row>
    <row r="425">
      <c r="E425" s="2" t="n"/>
      <c r="F425" s="2" t="n"/>
      <c r="H425" s="3" t="n"/>
      <c r="K425" s="2">
        <f>IF(F425="","",F425-J425)</f>
        <v/>
      </c>
      <c r="L425">
        <f>IF(F425="","",F425-TODAY())</f>
        <v/>
      </c>
      <c r="M425">
        <f>IF(F425="","",IF(L425&lt;0,"Expired",IF(L425&lt;=30,"⚠ Due in 30 Days",IF(L425&lt;=60,"Upcoming (60 Days)","Active"))))</f>
        <v/>
      </c>
      <c r="P425" s="3">
        <f>IF(G425="Monthly",H425*12,IF(G425="Quarterly",H425*4,IF(G425="Annual",H425,IF(G425="Multi-Year",H425/2,H425))))</f>
        <v/>
      </c>
    </row>
    <row r="426">
      <c r="E426" s="2" t="n"/>
      <c r="F426" s="2" t="n"/>
      <c r="H426" s="3" t="n"/>
      <c r="K426" s="2">
        <f>IF(F426="","",F426-J426)</f>
        <v/>
      </c>
      <c r="L426">
        <f>IF(F426="","",F426-TODAY())</f>
        <v/>
      </c>
      <c r="M426">
        <f>IF(F426="","",IF(L426&lt;0,"Expired",IF(L426&lt;=30,"⚠ Due in 30 Days",IF(L426&lt;=60,"Upcoming (60 Days)","Active"))))</f>
        <v/>
      </c>
      <c r="P426" s="3">
        <f>IF(G426="Monthly",H426*12,IF(G426="Quarterly",H426*4,IF(G426="Annual",H426,IF(G426="Multi-Year",H426/2,H426))))</f>
        <v/>
      </c>
    </row>
    <row r="427">
      <c r="E427" s="2" t="n"/>
      <c r="F427" s="2" t="n"/>
      <c r="H427" s="3" t="n"/>
      <c r="K427" s="2">
        <f>IF(F427="","",F427-J427)</f>
        <v/>
      </c>
      <c r="L427">
        <f>IF(F427="","",F427-TODAY())</f>
        <v/>
      </c>
      <c r="M427">
        <f>IF(F427="","",IF(L427&lt;0,"Expired",IF(L427&lt;=30,"⚠ Due in 30 Days",IF(L427&lt;=60,"Upcoming (60 Days)","Active"))))</f>
        <v/>
      </c>
      <c r="P427" s="3">
        <f>IF(G427="Monthly",H427*12,IF(G427="Quarterly",H427*4,IF(G427="Annual",H427,IF(G427="Multi-Year",H427/2,H427))))</f>
        <v/>
      </c>
    </row>
    <row r="428">
      <c r="E428" s="2" t="n"/>
      <c r="F428" s="2" t="n"/>
      <c r="H428" s="3" t="n"/>
      <c r="K428" s="2">
        <f>IF(F428="","",F428-J428)</f>
        <v/>
      </c>
      <c r="L428">
        <f>IF(F428="","",F428-TODAY())</f>
        <v/>
      </c>
      <c r="M428">
        <f>IF(F428="","",IF(L428&lt;0,"Expired",IF(L428&lt;=30,"⚠ Due in 30 Days",IF(L428&lt;=60,"Upcoming (60 Days)","Active"))))</f>
        <v/>
      </c>
      <c r="P428" s="3">
        <f>IF(G428="Monthly",H428*12,IF(G428="Quarterly",H428*4,IF(G428="Annual",H428,IF(G428="Multi-Year",H428/2,H428))))</f>
        <v/>
      </c>
    </row>
    <row r="429">
      <c r="E429" s="2" t="n"/>
      <c r="F429" s="2" t="n"/>
      <c r="H429" s="3" t="n"/>
      <c r="K429" s="2">
        <f>IF(F429="","",F429-J429)</f>
        <v/>
      </c>
      <c r="L429">
        <f>IF(F429="","",F429-TODAY())</f>
        <v/>
      </c>
      <c r="M429">
        <f>IF(F429="","",IF(L429&lt;0,"Expired",IF(L429&lt;=30,"⚠ Due in 30 Days",IF(L429&lt;=60,"Upcoming (60 Days)","Active"))))</f>
        <v/>
      </c>
      <c r="P429" s="3">
        <f>IF(G429="Monthly",H429*12,IF(G429="Quarterly",H429*4,IF(G429="Annual",H429,IF(G429="Multi-Year",H429/2,H429))))</f>
        <v/>
      </c>
    </row>
    <row r="430">
      <c r="E430" s="2" t="n"/>
      <c r="F430" s="2" t="n"/>
      <c r="H430" s="3" t="n"/>
      <c r="K430" s="2">
        <f>IF(F430="","",F430-J430)</f>
        <v/>
      </c>
      <c r="L430">
        <f>IF(F430="","",F430-TODAY())</f>
        <v/>
      </c>
      <c r="M430">
        <f>IF(F430="","",IF(L430&lt;0,"Expired",IF(L430&lt;=30,"⚠ Due in 30 Days",IF(L430&lt;=60,"Upcoming (60 Days)","Active"))))</f>
        <v/>
      </c>
      <c r="P430" s="3">
        <f>IF(G430="Monthly",H430*12,IF(G430="Quarterly",H430*4,IF(G430="Annual",H430,IF(G430="Multi-Year",H430/2,H430))))</f>
        <v/>
      </c>
    </row>
    <row r="431">
      <c r="E431" s="2" t="n"/>
      <c r="F431" s="2" t="n"/>
      <c r="H431" s="3" t="n"/>
      <c r="K431" s="2">
        <f>IF(F431="","",F431-J431)</f>
        <v/>
      </c>
      <c r="L431">
        <f>IF(F431="","",F431-TODAY())</f>
        <v/>
      </c>
      <c r="M431">
        <f>IF(F431="","",IF(L431&lt;0,"Expired",IF(L431&lt;=30,"⚠ Due in 30 Days",IF(L431&lt;=60,"Upcoming (60 Days)","Active"))))</f>
        <v/>
      </c>
      <c r="P431" s="3">
        <f>IF(G431="Monthly",H431*12,IF(G431="Quarterly",H431*4,IF(G431="Annual",H431,IF(G431="Multi-Year",H431/2,H431))))</f>
        <v/>
      </c>
    </row>
    <row r="432">
      <c r="E432" s="2" t="n"/>
      <c r="F432" s="2" t="n"/>
      <c r="H432" s="3" t="n"/>
      <c r="K432" s="2">
        <f>IF(F432="","",F432-J432)</f>
        <v/>
      </c>
      <c r="L432">
        <f>IF(F432="","",F432-TODAY())</f>
        <v/>
      </c>
      <c r="M432">
        <f>IF(F432="","",IF(L432&lt;0,"Expired",IF(L432&lt;=30,"⚠ Due in 30 Days",IF(L432&lt;=60,"Upcoming (60 Days)","Active"))))</f>
        <v/>
      </c>
      <c r="P432" s="3">
        <f>IF(G432="Monthly",H432*12,IF(G432="Quarterly",H432*4,IF(G432="Annual",H432,IF(G432="Multi-Year",H432/2,H432))))</f>
        <v/>
      </c>
    </row>
    <row r="433">
      <c r="E433" s="2" t="n"/>
      <c r="F433" s="2" t="n"/>
      <c r="H433" s="3" t="n"/>
      <c r="K433" s="2">
        <f>IF(F433="","",F433-J433)</f>
        <v/>
      </c>
      <c r="L433">
        <f>IF(F433="","",F433-TODAY())</f>
        <v/>
      </c>
      <c r="M433">
        <f>IF(F433="","",IF(L433&lt;0,"Expired",IF(L433&lt;=30,"⚠ Due in 30 Days",IF(L433&lt;=60,"Upcoming (60 Days)","Active"))))</f>
        <v/>
      </c>
      <c r="P433" s="3">
        <f>IF(G433="Monthly",H433*12,IF(G433="Quarterly",H433*4,IF(G433="Annual",H433,IF(G433="Multi-Year",H433/2,H433))))</f>
        <v/>
      </c>
    </row>
    <row r="434">
      <c r="E434" s="2" t="n"/>
      <c r="F434" s="2" t="n"/>
      <c r="H434" s="3" t="n"/>
      <c r="K434" s="2">
        <f>IF(F434="","",F434-J434)</f>
        <v/>
      </c>
      <c r="L434">
        <f>IF(F434="","",F434-TODAY())</f>
        <v/>
      </c>
      <c r="M434">
        <f>IF(F434="","",IF(L434&lt;0,"Expired",IF(L434&lt;=30,"⚠ Due in 30 Days",IF(L434&lt;=60,"Upcoming (60 Days)","Active"))))</f>
        <v/>
      </c>
      <c r="P434" s="3">
        <f>IF(G434="Monthly",H434*12,IF(G434="Quarterly",H434*4,IF(G434="Annual",H434,IF(G434="Multi-Year",H434/2,H434))))</f>
        <v/>
      </c>
    </row>
    <row r="435">
      <c r="E435" s="2" t="n"/>
      <c r="F435" s="2" t="n"/>
      <c r="H435" s="3" t="n"/>
      <c r="K435" s="2">
        <f>IF(F435="","",F435-J435)</f>
        <v/>
      </c>
      <c r="L435">
        <f>IF(F435="","",F435-TODAY())</f>
        <v/>
      </c>
      <c r="M435">
        <f>IF(F435="","",IF(L435&lt;0,"Expired",IF(L435&lt;=30,"⚠ Due in 30 Days",IF(L435&lt;=60,"Upcoming (60 Days)","Active"))))</f>
        <v/>
      </c>
      <c r="P435" s="3">
        <f>IF(G435="Monthly",H435*12,IF(G435="Quarterly",H435*4,IF(G435="Annual",H435,IF(G435="Multi-Year",H435/2,H435))))</f>
        <v/>
      </c>
    </row>
    <row r="436">
      <c r="E436" s="2" t="n"/>
      <c r="F436" s="2" t="n"/>
      <c r="H436" s="3" t="n"/>
      <c r="K436" s="2">
        <f>IF(F436="","",F436-J436)</f>
        <v/>
      </c>
      <c r="L436">
        <f>IF(F436="","",F436-TODAY())</f>
        <v/>
      </c>
      <c r="M436">
        <f>IF(F436="","",IF(L436&lt;0,"Expired",IF(L436&lt;=30,"⚠ Due in 30 Days",IF(L436&lt;=60,"Upcoming (60 Days)","Active"))))</f>
        <v/>
      </c>
      <c r="P436" s="3">
        <f>IF(G436="Monthly",H436*12,IF(G436="Quarterly",H436*4,IF(G436="Annual",H436,IF(G436="Multi-Year",H436/2,H436))))</f>
        <v/>
      </c>
    </row>
    <row r="437">
      <c r="E437" s="2" t="n"/>
      <c r="F437" s="2" t="n"/>
      <c r="H437" s="3" t="n"/>
      <c r="K437" s="2">
        <f>IF(F437="","",F437-J437)</f>
        <v/>
      </c>
      <c r="L437">
        <f>IF(F437="","",F437-TODAY())</f>
        <v/>
      </c>
      <c r="M437">
        <f>IF(F437="","",IF(L437&lt;0,"Expired",IF(L437&lt;=30,"⚠ Due in 30 Days",IF(L437&lt;=60,"Upcoming (60 Days)","Active"))))</f>
        <v/>
      </c>
      <c r="P437" s="3">
        <f>IF(G437="Monthly",H437*12,IF(G437="Quarterly",H437*4,IF(G437="Annual",H437,IF(G437="Multi-Year",H437/2,H437))))</f>
        <v/>
      </c>
    </row>
    <row r="438">
      <c r="E438" s="2" t="n"/>
      <c r="F438" s="2" t="n"/>
      <c r="H438" s="3" t="n"/>
      <c r="K438" s="2">
        <f>IF(F438="","",F438-J438)</f>
        <v/>
      </c>
      <c r="L438">
        <f>IF(F438="","",F438-TODAY())</f>
        <v/>
      </c>
      <c r="M438">
        <f>IF(F438="","",IF(L438&lt;0,"Expired",IF(L438&lt;=30,"⚠ Due in 30 Days",IF(L438&lt;=60,"Upcoming (60 Days)","Active"))))</f>
        <v/>
      </c>
      <c r="P438" s="3">
        <f>IF(G438="Monthly",H438*12,IF(G438="Quarterly",H438*4,IF(G438="Annual",H438,IF(G438="Multi-Year",H438/2,H438))))</f>
        <v/>
      </c>
    </row>
    <row r="439">
      <c r="E439" s="2" t="n"/>
      <c r="F439" s="2" t="n"/>
      <c r="H439" s="3" t="n"/>
      <c r="K439" s="2">
        <f>IF(F439="","",F439-J439)</f>
        <v/>
      </c>
      <c r="L439">
        <f>IF(F439="","",F439-TODAY())</f>
        <v/>
      </c>
      <c r="M439">
        <f>IF(F439="","",IF(L439&lt;0,"Expired",IF(L439&lt;=30,"⚠ Due in 30 Days",IF(L439&lt;=60,"Upcoming (60 Days)","Active"))))</f>
        <v/>
      </c>
      <c r="P439" s="3">
        <f>IF(G439="Monthly",H439*12,IF(G439="Quarterly",H439*4,IF(G439="Annual",H439,IF(G439="Multi-Year",H439/2,H439))))</f>
        <v/>
      </c>
    </row>
    <row r="440">
      <c r="E440" s="2" t="n"/>
      <c r="F440" s="2" t="n"/>
      <c r="H440" s="3" t="n"/>
      <c r="K440" s="2">
        <f>IF(F440="","",F440-J440)</f>
        <v/>
      </c>
      <c r="L440">
        <f>IF(F440="","",F440-TODAY())</f>
        <v/>
      </c>
      <c r="M440">
        <f>IF(F440="","",IF(L440&lt;0,"Expired",IF(L440&lt;=30,"⚠ Due in 30 Days",IF(L440&lt;=60,"Upcoming (60 Days)","Active"))))</f>
        <v/>
      </c>
      <c r="P440" s="3">
        <f>IF(G440="Monthly",H440*12,IF(G440="Quarterly",H440*4,IF(G440="Annual",H440,IF(G440="Multi-Year",H440/2,H440))))</f>
        <v/>
      </c>
    </row>
    <row r="441">
      <c r="E441" s="2" t="n"/>
      <c r="F441" s="2" t="n"/>
      <c r="H441" s="3" t="n"/>
      <c r="K441" s="2">
        <f>IF(F441="","",F441-J441)</f>
        <v/>
      </c>
      <c r="L441">
        <f>IF(F441="","",F441-TODAY())</f>
        <v/>
      </c>
      <c r="M441">
        <f>IF(F441="","",IF(L441&lt;0,"Expired",IF(L441&lt;=30,"⚠ Due in 30 Days",IF(L441&lt;=60,"Upcoming (60 Days)","Active"))))</f>
        <v/>
      </c>
      <c r="P441" s="3">
        <f>IF(G441="Monthly",H441*12,IF(G441="Quarterly",H441*4,IF(G441="Annual",H441,IF(G441="Multi-Year",H441/2,H441))))</f>
        <v/>
      </c>
    </row>
    <row r="442">
      <c r="E442" s="2" t="n"/>
      <c r="F442" s="2" t="n"/>
      <c r="H442" s="3" t="n"/>
      <c r="K442" s="2">
        <f>IF(F442="","",F442-J442)</f>
        <v/>
      </c>
      <c r="L442">
        <f>IF(F442="","",F442-TODAY())</f>
        <v/>
      </c>
      <c r="M442">
        <f>IF(F442="","",IF(L442&lt;0,"Expired",IF(L442&lt;=30,"⚠ Due in 30 Days",IF(L442&lt;=60,"Upcoming (60 Days)","Active"))))</f>
        <v/>
      </c>
      <c r="P442" s="3">
        <f>IF(G442="Monthly",H442*12,IF(G442="Quarterly",H442*4,IF(G442="Annual",H442,IF(G442="Multi-Year",H442/2,H442))))</f>
        <v/>
      </c>
    </row>
    <row r="443">
      <c r="E443" s="2" t="n"/>
      <c r="F443" s="2" t="n"/>
      <c r="H443" s="3" t="n"/>
      <c r="K443" s="2">
        <f>IF(F443="","",F443-J443)</f>
        <v/>
      </c>
      <c r="L443">
        <f>IF(F443="","",F443-TODAY())</f>
        <v/>
      </c>
      <c r="M443">
        <f>IF(F443="","",IF(L443&lt;0,"Expired",IF(L443&lt;=30,"⚠ Due in 30 Days",IF(L443&lt;=60,"Upcoming (60 Days)","Active"))))</f>
        <v/>
      </c>
      <c r="P443" s="3">
        <f>IF(G443="Monthly",H443*12,IF(G443="Quarterly",H443*4,IF(G443="Annual",H443,IF(G443="Multi-Year",H443/2,H443))))</f>
        <v/>
      </c>
    </row>
    <row r="444">
      <c r="E444" s="2" t="n"/>
      <c r="F444" s="2" t="n"/>
      <c r="H444" s="3" t="n"/>
      <c r="K444" s="2">
        <f>IF(F444="","",F444-J444)</f>
        <v/>
      </c>
      <c r="L444">
        <f>IF(F444="","",F444-TODAY())</f>
        <v/>
      </c>
      <c r="M444">
        <f>IF(F444="","",IF(L444&lt;0,"Expired",IF(L444&lt;=30,"⚠ Due in 30 Days",IF(L444&lt;=60,"Upcoming (60 Days)","Active"))))</f>
        <v/>
      </c>
      <c r="P444" s="3">
        <f>IF(G444="Monthly",H444*12,IF(G444="Quarterly",H444*4,IF(G444="Annual",H444,IF(G444="Multi-Year",H444/2,H444))))</f>
        <v/>
      </c>
    </row>
    <row r="445">
      <c r="E445" s="2" t="n"/>
      <c r="F445" s="2" t="n"/>
      <c r="H445" s="3" t="n"/>
      <c r="K445" s="2">
        <f>IF(F445="","",F445-J445)</f>
        <v/>
      </c>
      <c r="L445">
        <f>IF(F445="","",F445-TODAY())</f>
        <v/>
      </c>
      <c r="M445">
        <f>IF(F445="","",IF(L445&lt;0,"Expired",IF(L445&lt;=30,"⚠ Due in 30 Days",IF(L445&lt;=60,"Upcoming (60 Days)","Active"))))</f>
        <v/>
      </c>
      <c r="P445" s="3">
        <f>IF(G445="Monthly",H445*12,IF(G445="Quarterly",H445*4,IF(G445="Annual",H445,IF(G445="Multi-Year",H445/2,H445))))</f>
        <v/>
      </c>
    </row>
    <row r="446">
      <c r="E446" s="2" t="n"/>
      <c r="F446" s="2" t="n"/>
      <c r="H446" s="3" t="n"/>
      <c r="K446" s="2">
        <f>IF(F446="","",F446-J446)</f>
        <v/>
      </c>
      <c r="L446">
        <f>IF(F446="","",F446-TODAY())</f>
        <v/>
      </c>
      <c r="M446">
        <f>IF(F446="","",IF(L446&lt;0,"Expired",IF(L446&lt;=30,"⚠ Due in 30 Days",IF(L446&lt;=60,"Upcoming (60 Days)","Active"))))</f>
        <v/>
      </c>
      <c r="P446" s="3">
        <f>IF(G446="Monthly",H446*12,IF(G446="Quarterly",H446*4,IF(G446="Annual",H446,IF(G446="Multi-Year",H446/2,H446))))</f>
        <v/>
      </c>
    </row>
    <row r="447">
      <c r="E447" s="2" t="n"/>
      <c r="F447" s="2" t="n"/>
      <c r="H447" s="3" t="n"/>
      <c r="K447" s="2">
        <f>IF(F447="","",F447-J447)</f>
        <v/>
      </c>
      <c r="L447">
        <f>IF(F447="","",F447-TODAY())</f>
        <v/>
      </c>
      <c r="M447">
        <f>IF(F447="","",IF(L447&lt;0,"Expired",IF(L447&lt;=30,"⚠ Due in 30 Days",IF(L447&lt;=60,"Upcoming (60 Days)","Active"))))</f>
        <v/>
      </c>
      <c r="P447" s="3">
        <f>IF(G447="Monthly",H447*12,IF(G447="Quarterly",H447*4,IF(G447="Annual",H447,IF(G447="Multi-Year",H447/2,H447))))</f>
        <v/>
      </c>
    </row>
    <row r="448">
      <c r="E448" s="2" t="n"/>
      <c r="F448" s="2" t="n"/>
      <c r="H448" s="3" t="n"/>
      <c r="K448" s="2">
        <f>IF(F448="","",F448-J448)</f>
        <v/>
      </c>
      <c r="L448">
        <f>IF(F448="","",F448-TODAY())</f>
        <v/>
      </c>
      <c r="M448">
        <f>IF(F448="","",IF(L448&lt;0,"Expired",IF(L448&lt;=30,"⚠ Due in 30 Days",IF(L448&lt;=60,"Upcoming (60 Days)","Active"))))</f>
        <v/>
      </c>
      <c r="P448" s="3">
        <f>IF(G448="Monthly",H448*12,IF(G448="Quarterly",H448*4,IF(G448="Annual",H448,IF(G448="Multi-Year",H448/2,H448))))</f>
        <v/>
      </c>
    </row>
    <row r="449">
      <c r="E449" s="2" t="n"/>
      <c r="F449" s="2" t="n"/>
      <c r="H449" s="3" t="n"/>
      <c r="K449" s="2">
        <f>IF(F449="","",F449-J449)</f>
        <v/>
      </c>
      <c r="L449">
        <f>IF(F449="","",F449-TODAY())</f>
        <v/>
      </c>
      <c r="M449">
        <f>IF(F449="","",IF(L449&lt;0,"Expired",IF(L449&lt;=30,"⚠ Due in 30 Days",IF(L449&lt;=60,"Upcoming (60 Days)","Active"))))</f>
        <v/>
      </c>
      <c r="P449" s="3">
        <f>IF(G449="Monthly",H449*12,IF(G449="Quarterly",H449*4,IF(G449="Annual",H449,IF(G449="Multi-Year",H449/2,H449))))</f>
        <v/>
      </c>
    </row>
    <row r="450">
      <c r="E450" s="2" t="n"/>
      <c r="F450" s="2" t="n"/>
      <c r="H450" s="3" t="n"/>
      <c r="K450" s="2">
        <f>IF(F450="","",F450-J450)</f>
        <v/>
      </c>
      <c r="L450">
        <f>IF(F450="","",F450-TODAY())</f>
        <v/>
      </c>
      <c r="M450">
        <f>IF(F450="","",IF(L450&lt;0,"Expired",IF(L450&lt;=30,"⚠ Due in 30 Days",IF(L450&lt;=60,"Upcoming (60 Days)","Active"))))</f>
        <v/>
      </c>
      <c r="P450" s="3">
        <f>IF(G450="Monthly",H450*12,IF(G450="Quarterly",H450*4,IF(G450="Annual",H450,IF(G450="Multi-Year",H450/2,H450))))</f>
        <v/>
      </c>
    </row>
    <row r="451">
      <c r="E451" s="2" t="n"/>
      <c r="F451" s="2" t="n"/>
      <c r="H451" s="3" t="n"/>
      <c r="K451" s="2">
        <f>IF(F451="","",F451-J451)</f>
        <v/>
      </c>
      <c r="L451">
        <f>IF(F451="","",F451-TODAY())</f>
        <v/>
      </c>
      <c r="M451">
        <f>IF(F451="","",IF(L451&lt;0,"Expired",IF(L451&lt;=30,"⚠ Due in 30 Days",IF(L451&lt;=60,"Upcoming (60 Days)","Active"))))</f>
        <v/>
      </c>
      <c r="P451" s="3">
        <f>IF(G451="Monthly",H451*12,IF(G451="Quarterly",H451*4,IF(G451="Annual",H451,IF(G451="Multi-Year",H451/2,H451))))</f>
        <v/>
      </c>
    </row>
    <row r="452">
      <c r="E452" s="2" t="n"/>
      <c r="F452" s="2" t="n"/>
      <c r="H452" s="3" t="n"/>
      <c r="K452" s="2">
        <f>IF(F452="","",F452-J452)</f>
        <v/>
      </c>
      <c r="L452">
        <f>IF(F452="","",F452-TODAY())</f>
        <v/>
      </c>
      <c r="M452">
        <f>IF(F452="","",IF(L452&lt;0,"Expired",IF(L452&lt;=30,"⚠ Due in 30 Days",IF(L452&lt;=60,"Upcoming (60 Days)","Active"))))</f>
        <v/>
      </c>
      <c r="P452" s="3">
        <f>IF(G452="Monthly",H452*12,IF(G452="Quarterly",H452*4,IF(G452="Annual",H452,IF(G452="Multi-Year",H452/2,H452))))</f>
        <v/>
      </c>
    </row>
    <row r="453">
      <c r="E453" s="2" t="n"/>
      <c r="F453" s="2" t="n"/>
      <c r="H453" s="3" t="n"/>
      <c r="K453" s="2">
        <f>IF(F453="","",F453-J453)</f>
        <v/>
      </c>
      <c r="L453">
        <f>IF(F453="","",F453-TODAY())</f>
        <v/>
      </c>
      <c r="M453">
        <f>IF(F453="","",IF(L453&lt;0,"Expired",IF(L453&lt;=30,"⚠ Due in 30 Days",IF(L453&lt;=60,"Upcoming (60 Days)","Active"))))</f>
        <v/>
      </c>
      <c r="P453" s="3">
        <f>IF(G453="Monthly",H453*12,IF(G453="Quarterly",H453*4,IF(G453="Annual",H453,IF(G453="Multi-Year",H453/2,H453))))</f>
        <v/>
      </c>
    </row>
    <row r="454">
      <c r="E454" s="2" t="n"/>
      <c r="F454" s="2" t="n"/>
      <c r="H454" s="3" t="n"/>
      <c r="K454" s="2">
        <f>IF(F454="","",F454-J454)</f>
        <v/>
      </c>
      <c r="L454">
        <f>IF(F454="","",F454-TODAY())</f>
        <v/>
      </c>
      <c r="M454">
        <f>IF(F454="","",IF(L454&lt;0,"Expired",IF(L454&lt;=30,"⚠ Due in 30 Days",IF(L454&lt;=60,"Upcoming (60 Days)","Active"))))</f>
        <v/>
      </c>
      <c r="P454" s="3">
        <f>IF(G454="Monthly",H454*12,IF(G454="Quarterly",H454*4,IF(G454="Annual",H454,IF(G454="Multi-Year",H454/2,H454))))</f>
        <v/>
      </c>
    </row>
    <row r="455">
      <c r="E455" s="2" t="n"/>
      <c r="F455" s="2" t="n"/>
      <c r="H455" s="3" t="n"/>
      <c r="K455" s="2">
        <f>IF(F455="","",F455-J455)</f>
        <v/>
      </c>
      <c r="L455">
        <f>IF(F455="","",F455-TODAY())</f>
        <v/>
      </c>
      <c r="M455">
        <f>IF(F455="","",IF(L455&lt;0,"Expired",IF(L455&lt;=30,"⚠ Due in 30 Days",IF(L455&lt;=60,"Upcoming (60 Days)","Active"))))</f>
        <v/>
      </c>
      <c r="P455" s="3">
        <f>IF(G455="Monthly",H455*12,IF(G455="Quarterly",H455*4,IF(G455="Annual",H455,IF(G455="Multi-Year",H455/2,H455))))</f>
        <v/>
      </c>
    </row>
    <row r="456">
      <c r="E456" s="2" t="n"/>
      <c r="F456" s="2" t="n"/>
      <c r="H456" s="3" t="n"/>
      <c r="K456" s="2">
        <f>IF(F456="","",F456-J456)</f>
        <v/>
      </c>
      <c r="L456">
        <f>IF(F456="","",F456-TODAY())</f>
        <v/>
      </c>
      <c r="M456">
        <f>IF(F456="","",IF(L456&lt;0,"Expired",IF(L456&lt;=30,"⚠ Due in 30 Days",IF(L456&lt;=60,"Upcoming (60 Days)","Active"))))</f>
        <v/>
      </c>
      <c r="P456" s="3">
        <f>IF(G456="Monthly",H456*12,IF(G456="Quarterly",H456*4,IF(G456="Annual",H456,IF(G456="Multi-Year",H456/2,H456))))</f>
        <v/>
      </c>
    </row>
    <row r="457">
      <c r="E457" s="2" t="n"/>
      <c r="F457" s="2" t="n"/>
      <c r="H457" s="3" t="n"/>
      <c r="K457" s="2">
        <f>IF(F457="","",F457-J457)</f>
        <v/>
      </c>
      <c r="L457">
        <f>IF(F457="","",F457-TODAY())</f>
        <v/>
      </c>
      <c r="M457">
        <f>IF(F457="","",IF(L457&lt;0,"Expired",IF(L457&lt;=30,"⚠ Due in 30 Days",IF(L457&lt;=60,"Upcoming (60 Days)","Active"))))</f>
        <v/>
      </c>
      <c r="P457" s="3">
        <f>IF(G457="Monthly",H457*12,IF(G457="Quarterly",H457*4,IF(G457="Annual",H457,IF(G457="Multi-Year",H457/2,H457))))</f>
        <v/>
      </c>
    </row>
    <row r="458">
      <c r="E458" s="2" t="n"/>
      <c r="F458" s="2" t="n"/>
      <c r="H458" s="3" t="n"/>
      <c r="K458" s="2">
        <f>IF(F458="","",F458-J458)</f>
        <v/>
      </c>
      <c r="L458">
        <f>IF(F458="","",F458-TODAY())</f>
        <v/>
      </c>
      <c r="M458">
        <f>IF(F458="","",IF(L458&lt;0,"Expired",IF(L458&lt;=30,"⚠ Due in 30 Days",IF(L458&lt;=60,"Upcoming (60 Days)","Active"))))</f>
        <v/>
      </c>
      <c r="P458" s="3">
        <f>IF(G458="Monthly",H458*12,IF(G458="Quarterly",H458*4,IF(G458="Annual",H458,IF(G458="Multi-Year",H458/2,H458))))</f>
        <v/>
      </c>
    </row>
    <row r="459">
      <c r="E459" s="2" t="n"/>
      <c r="F459" s="2" t="n"/>
      <c r="H459" s="3" t="n"/>
      <c r="K459" s="2">
        <f>IF(F459="","",F459-J459)</f>
        <v/>
      </c>
      <c r="L459">
        <f>IF(F459="","",F459-TODAY())</f>
        <v/>
      </c>
      <c r="M459">
        <f>IF(F459="","",IF(L459&lt;0,"Expired",IF(L459&lt;=30,"⚠ Due in 30 Days",IF(L459&lt;=60,"Upcoming (60 Days)","Active"))))</f>
        <v/>
      </c>
      <c r="P459" s="3">
        <f>IF(G459="Monthly",H459*12,IF(G459="Quarterly",H459*4,IF(G459="Annual",H459,IF(G459="Multi-Year",H459/2,H459))))</f>
        <v/>
      </c>
    </row>
    <row r="460">
      <c r="E460" s="2" t="n"/>
      <c r="F460" s="2" t="n"/>
      <c r="H460" s="3" t="n"/>
      <c r="K460" s="2">
        <f>IF(F460="","",F460-J460)</f>
        <v/>
      </c>
      <c r="L460">
        <f>IF(F460="","",F460-TODAY())</f>
        <v/>
      </c>
      <c r="M460">
        <f>IF(F460="","",IF(L460&lt;0,"Expired",IF(L460&lt;=30,"⚠ Due in 30 Days",IF(L460&lt;=60,"Upcoming (60 Days)","Active"))))</f>
        <v/>
      </c>
      <c r="P460" s="3">
        <f>IF(G460="Monthly",H460*12,IF(G460="Quarterly",H460*4,IF(G460="Annual",H460,IF(G460="Multi-Year",H460/2,H460))))</f>
        <v/>
      </c>
    </row>
    <row r="461">
      <c r="E461" s="2" t="n"/>
      <c r="F461" s="2" t="n"/>
      <c r="H461" s="3" t="n"/>
      <c r="K461" s="2">
        <f>IF(F461="","",F461-J461)</f>
        <v/>
      </c>
      <c r="L461">
        <f>IF(F461="","",F461-TODAY())</f>
        <v/>
      </c>
      <c r="M461">
        <f>IF(F461="","",IF(L461&lt;0,"Expired",IF(L461&lt;=30,"⚠ Due in 30 Days",IF(L461&lt;=60,"Upcoming (60 Days)","Active"))))</f>
        <v/>
      </c>
      <c r="P461" s="3">
        <f>IF(G461="Monthly",H461*12,IF(G461="Quarterly",H461*4,IF(G461="Annual",H461,IF(G461="Multi-Year",H461/2,H461))))</f>
        <v/>
      </c>
    </row>
    <row r="462">
      <c r="E462" s="2" t="n"/>
      <c r="F462" s="2" t="n"/>
      <c r="H462" s="3" t="n"/>
      <c r="K462" s="2">
        <f>IF(F462="","",F462-J462)</f>
        <v/>
      </c>
      <c r="L462">
        <f>IF(F462="","",F462-TODAY())</f>
        <v/>
      </c>
      <c r="M462">
        <f>IF(F462="","",IF(L462&lt;0,"Expired",IF(L462&lt;=30,"⚠ Due in 30 Days",IF(L462&lt;=60,"Upcoming (60 Days)","Active"))))</f>
        <v/>
      </c>
      <c r="P462" s="3">
        <f>IF(G462="Monthly",H462*12,IF(G462="Quarterly",H462*4,IF(G462="Annual",H462,IF(G462="Multi-Year",H462/2,H462))))</f>
        <v/>
      </c>
    </row>
    <row r="463">
      <c r="E463" s="2" t="n"/>
      <c r="F463" s="2" t="n"/>
      <c r="H463" s="3" t="n"/>
      <c r="K463" s="2">
        <f>IF(F463="","",F463-J463)</f>
        <v/>
      </c>
      <c r="L463">
        <f>IF(F463="","",F463-TODAY())</f>
        <v/>
      </c>
      <c r="M463">
        <f>IF(F463="","",IF(L463&lt;0,"Expired",IF(L463&lt;=30,"⚠ Due in 30 Days",IF(L463&lt;=60,"Upcoming (60 Days)","Active"))))</f>
        <v/>
      </c>
      <c r="P463" s="3">
        <f>IF(G463="Monthly",H463*12,IF(G463="Quarterly",H463*4,IF(G463="Annual",H463,IF(G463="Multi-Year",H463/2,H463))))</f>
        <v/>
      </c>
    </row>
    <row r="464">
      <c r="E464" s="2" t="n"/>
      <c r="F464" s="2" t="n"/>
      <c r="H464" s="3" t="n"/>
      <c r="K464" s="2">
        <f>IF(F464="","",F464-J464)</f>
        <v/>
      </c>
      <c r="L464">
        <f>IF(F464="","",F464-TODAY())</f>
        <v/>
      </c>
      <c r="M464">
        <f>IF(F464="","",IF(L464&lt;0,"Expired",IF(L464&lt;=30,"⚠ Due in 30 Days",IF(L464&lt;=60,"Upcoming (60 Days)","Active"))))</f>
        <v/>
      </c>
      <c r="P464" s="3">
        <f>IF(G464="Monthly",H464*12,IF(G464="Quarterly",H464*4,IF(G464="Annual",H464,IF(G464="Multi-Year",H464/2,H464))))</f>
        <v/>
      </c>
    </row>
    <row r="465">
      <c r="E465" s="2" t="n"/>
      <c r="F465" s="2" t="n"/>
      <c r="H465" s="3" t="n"/>
      <c r="K465" s="2">
        <f>IF(F465="","",F465-J465)</f>
        <v/>
      </c>
      <c r="L465">
        <f>IF(F465="","",F465-TODAY())</f>
        <v/>
      </c>
      <c r="M465">
        <f>IF(F465="","",IF(L465&lt;0,"Expired",IF(L465&lt;=30,"⚠ Due in 30 Days",IF(L465&lt;=60,"Upcoming (60 Days)","Active"))))</f>
        <v/>
      </c>
      <c r="P465" s="3">
        <f>IF(G465="Monthly",H465*12,IF(G465="Quarterly",H465*4,IF(G465="Annual",H465,IF(G465="Multi-Year",H465/2,H465))))</f>
        <v/>
      </c>
    </row>
    <row r="466">
      <c r="E466" s="2" t="n"/>
      <c r="F466" s="2" t="n"/>
      <c r="H466" s="3" t="n"/>
      <c r="K466" s="2">
        <f>IF(F466="","",F466-J466)</f>
        <v/>
      </c>
      <c r="L466">
        <f>IF(F466="","",F466-TODAY())</f>
        <v/>
      </c>
      <c r="M466">
        <f>IF(F466="","",IF(L466&lt;0,"Expired",IF(L466&lt;=30,"⚠ Due in 30 Days",IF(L466&lt;=60,"Upcoming (60 Days)","Active"))))</f>
        <v/>
      </c>
      <c r="P466" s="3">
        <f>IF(G466="Monthly",H466*12,IF(G466="Quarterly",H466*4,IF(G466="Annual",H466,IF(G466="Multi-Year",H466/2,H466))))</f>
        <v/>
      </c>
    </row>
    <row r="467">
      <c r="E467" s="2" t="n"/>
      <c r="F467" s="2" t="n"/>
      <c r="H467" s="3" t="n"/>
      <c r="K467" s="2">
        <f>IF(F467="","",F467-J467)</f>
        <v/>
      </c>
      <c r="L467">
        <f>IF(F467="","",F467-TODAY())</f>
        <v/>
      </c>
      <c r="M467">
        <f>IF(F467="","",IF(L467&lt;0,"Expired",IF(L467&lt;=30,"⚠ Due in 30 Days",IF(L467&lt;=60,"Upcoming (60 Days)","Active"))))</f>
        <v/>
      </c>
      <c r="P467" s="3">
        <f>IF(G467="Monthly",H467*12,IF(G467="Quarterly",H467*4,IF(G467="Annual",H467,IF(G467="Multi-Year",H467/2,H467))))</f>
        <v/>
      </c>
    </row>
    <row r="468">
      <c r="E468" s="2" t="n"/>
      <c r="F468" s="2" t="n"/>
      <c r="H468" s="3" t="n"/>
      <c r="K468" s="2">
        <f>IF(F468="","",F468-J468)</f>
        <v/>
      </c>
      <c r="L468">
        <f>IF(F468="","",F468-TODAY())</f>
        <v/>
      </c>
      <c r="M468">
        <f>IF(F468="","",IF(L468&lt;0,"Expired",IF(L468&lt;=30,"⚠ Due in 30 Days",IF(L468&lt;=60,"Upcoming (60 Days)","Active"))))</f>
        <v/>
      </c>
      <c r="P468" s="3">
        <f>IF(G468="Monthly",H468*12,IF(G468="Quarterly",H468*4,IF(G468="Annual",H468,IF(G468="Multi-Year",H468/2,H468))))</f>
        <v/>
      </c>
    </row>
    <row r="469">
      <c r="E469" s="2" t="n"/>
      <c r="F469" s="2" t="n"/>
      <c r="H469" s="3" t="n"/>
      <c r="K469" s="2">
        <f>IF(F469="","",F469-J469)</f>
        <v/>
      </c>
      <c r="L469">
        <f>IF(F469="","",F469-TODAY())</f>
        <v/>
      </c>
      <c r="M469">
        <f>IF(F469="","",IF(L469&lt;0,"Expired",IF(L469&lt;=30,"⚠ Due in 30 Days",IF(L469&lt;=60,"Upcoming (60 Days)","Active"))))</f>
        <v/>
      </c>
      <c r="P469" s="3">
        <f>IF(G469="Monthly",H469*12,IF(G469="Quarterly",H469*4,IF(G469="Annual",H469,IF(G469="Multi-Year",H469/2,H469))))</f>
        <v/>
      </c>
    </row>
    <row r="470">
      <c r="E470" s="2" t="n"/>
      <c r="F470" s="2" t="n"/>
      <c r="H470" s="3" t="n"/>
      <c r="K470" s="2">
        <f>IF(F470="","",F470-J470)</f>
        <v/>
      </c>
      <c r="L470">
        <f>IF(F470="","",F470-TODAY())</f>
        <v/>
      </c>
      <c r="M470">
        <f>IF(F470="","",IF(L470&lt;0,"Expired",IF(L470&lt;=30,"⚠ Due in 30 Days",IF(L470&lt;=60,"Upcoming (60 Days)","Active"))))</f>
        <v/>
      </c>
      <c r="P470" s="3">
        <f>IF(G470="Monthly",H470*12,IF(G470="Quarterly",H470*4,IF(G470="Annual",H470,IF(G470="Multi-Year",H470/2,H470))))</f>
        <v/>
      </c>
    </row>
    <row r="471">
      <c r="E471" s="2" t="n"/>
      <c r="F471" s="2" t="n"/>
      <c r="H471" s="3" t="n"/>
      <c r="K471" s="2">
        <f>IF(F471="","",F471-J471)</f>
        <v/>
      </c>
      <c r="L471">
        <f>IF(F471="","",F471-TODAY())</f>
        <v/>
      </c>
      <c r="M471">
        <f>IF(F471="","",IF(L471&lt;0,"Expired",IF(L471&lt;=30,"⚠ Due in 30 Days",IF(L471&lt;=60,"Upcoming (60 Days)","Active"))))</f>
        <v/>
      </c>
      <c r="P471" s="3">
        <f>IF(G471="Monthly",H471*12,IF(G471="Quarterly",H471*4,IF(G471="Annual",H471,IF(G471="Multi-Year",H471/2,H471))))</f>
        <v/>
      </c>
    </row>
    <row r="472">
      <c r="E472" s="2" t="n"/>
      <c r="F472" s="2" t="n"/>
      <c r="H472" s="3" t="n"/>
      <c r="K472" s="2">
        <f>IF(F472="","",F472-J472)</f>
        <v/>
      </c>
      <c r="L472">
        <f>IF(F472="","",F472-TODAY())</f>
        <v/>
      </c>
      <c r="M472">
        <f>IF(F472="","",IF(L472&lt;0,"Expired",IF(L472&lt;=30,"⚠ Due in 30 Days",IF(L472&lt;=60,"Upcoming (60 Days)","Active"))))</f>
        <v/>
      </c>
      <c r="P472" s="3">
        <f>IF(G472="Monthly",H472*12,IF(G472="Quarterly",H472*4,IF(G472="Annual",H472,IF(G472="Multi-Year",H472/2,H472))))</f>
        <v/>
      </c>
    </row>
    <row r="473">
      <c r="E473" s="2" t="n"/>
      <c r="F473" s="2" t="n"/>
      <c r="H473" s="3" t="n"/>
      <c r="K473" s="2">
        <f>IF(F473="","",F473-J473)</f>
        <v/>
      </c>
      <c r="L473">
        <f>IF(F473="","",F473-TODAY())</f>
        <v/>
      </c>
      <c r="M473">
        <f>IF(F473="","",IF(L473&lt;0,"Expired",IF(L473&lt;=30,"⚠ Due in 30 Days",IF(L473&lt;=60,"Upcoming (60 Days)","Active"))))</f>
        <v/>
      </c>
      <c r="P473" s="3">
        <f>IF(G473="Monthly",H473*12,IF(G473="Quarterly",H473*4,IF(G473="Annual",H473,IF(G473="Multi-Year",H473/2,H473))))</f>
        <v/>
      </c>
    </row>
    <row r="474">
      <c r="E474" s="2" t="n"/>
      <c r="F474" s="2" t="n"/>
      <c r="H474" s="3" t="n"/>
      <c r="K474" s="2">
        <f>IF(F474="","",F474-J474)</f>
        <v/>
      </c>
      <c r="L474">
        <f>IF(F474="","",F474-TODAY())</f>
        <v/>
      </c>
      <c r="M474">
        <f>IF(F474="","",IF(L474&lt;0,"Expired",IF(L474&lt;=30,"⚠ Due in 30 Days",IF(L474&lt;=60,"Upcoming (60 Days)","Active"))))</f>
        <v/>
      </c>
      <c r="P474" s="3">
        <f>IF(G474="Monthly",H474*12,IF(G474="Quarterly",H474*4,IF(G474="Annual",H474,IF(G474="Multi-Year",H474/2,H474))))</f>
        <v/>
      </c>
    </row>
    <row r="475">
      <c r="E475" s="2" t="n"/>
      <c r="F475" s="2" t="n"/>
      <c r="H475" s="3" t="n"/>
      <c r="K475" s="2">
        <f>IF(F475="","",F475-J475)</f>
        <v/>
      </c>
      <c r="L475">
        <f>IF(F475="","",F475-TODAY())</f>
        <v/>
      </c>
      <c r="M475">
        <f>IF(F475="","",IF(L475&lt;0,"Expired",IF(L475&lt;=30,"⚠ Due in 30 Days",IF(L475&lt;=60,"Upcoming (60 Days)","Active"))))</f>
        <v/>
      </c>
      <c r="P475" s="3">
        <f>IF(G475="Monthly",H475*12,IF(G475="Quarterly",H475*4,IF(G475="Annual",H475,IF(G475="Multi-Year",H475/2,H475))))</f>
        <v/>
      </c>
    </row>
    <row r="476">
      <c r="E476" s="2" t="n"/>
      <c r="F476" s="2" t="n"/>
      <c r="H476" s="3" t="n"/>
      <c r="K476" s="2">
        <f>IF(F476="","",F476-J476)</f>
        <v/>
      </c>
      <c r="L476">
        <f>IF(F476="","",F476-TODAY())</f>
        <v/>
      </c>
      <c r="M476">
        <f>IF(F476="","",IF(L476&lt;0,"Expired",IF(L476&lt;=30,"⚠ Due in 30 Days",IF(L476&lt;=60,"Upcoming (60 Days)","Active"))))</f>
        <v/>
      </c>
      <c r="P476" s="3">
        <f>IF(G476="Monthly",H476*12,IF(G476="Quarterly",H476*4,IF(G476="Annual",H476,IF(G476="Multi-Year",H476/2,H476))))</f>
        <v/>
      </c>
    </row>
    <row r="477">
      <c r="E477" s="2" t="n"/>
      <c r="F477" s="2" t="n"/>
      <c r="H477" s="3" t="n"/>
      <c r="K477" s="2">
        <f>IF(F477="","",F477-J477)</f>
        <v/>
      </c>
      <c r="L477">
        <f>IF(F477="","",F477-TODAY())</f>
        <v/>
      </c>
      <c r="M477">
        <f>IF(F477="","",IF(L477&lt;0,"Expired",IF(L477&lt;=30,"⚠ Due in 30 Days",IF(L477&lt;=60,"Upcoming (60 Days)","Active"))))</f>
        <v/>
      </c>
      <c r="P477" s="3">
        <f>IF(G477="Monthly",H477*12,IF(G477="Quarterly",H477*4,IF(G477="Annual",H477,IF(G477="Multi-Year",H477/2,H477))))</f>
        <v/>
      </c>
    </row>
    <row r="478">
      <c r="E478" s="2" t="n"/>
      <c r="F478" s="2" t="n"/>
      <c r="H478" s="3" t="n"/>
      <c r="K478" s="2">
        <f>IF(F478="","",F478-J478)</f>
        <v/>
      </c>
      <c r="L478">
        <f>IF(F478="","",F478-TODAY())</f>
        <v/>
      </c>
      <c r="M478">
        <f>IF(F478="","",IF(L478&lt;0,"Expired",IF(L478&lt;=30,"⚠ Due in 30 Days",IF(L478&lt;=60,"Upcoming (60 Days)","Active"))))</f>
        <v/>
      </c>
      <c r="P478" s="3">
        <f>IF(G478="Monthly",H478*12,IF(G478="Quarterly",H478*4,IF(G478="Annual",H478,IF(G478="Multi-Year",H478/2,H478))))</f>
        <v/>
      </c>
    </row>
    <row r="479">
      <c r="E479" s="2" t="n"/>
      <c r="F479" s="2" t="n"/>
      <c r="H479" s="3" t="n"/>
      <c r="K479" s="2">
        <f>IF(F479="","",F479-J479)</f>
        <v/>
      </c>
      <c r="L479">
        <f>IF(F479="","",F479-TODAY())</f>
        <v/>
      </c>
      <c r="M479">
        <f>IF(F479="","",IF(L479&lt;0,"Expired",IF(L479&lt;=30,"⚠ Due in 30 Days",IF(L479&lt;=60,"Upcoming (60 Days)","Active"))))</f>
        <v/>
      </c>
      <c r="P479" s="3">
        <f>IF(G479="Monthly",H479*12,IF(G479="Quarterly",H479*4,IF(G479="Annual",H479,IF(G479="Multi-Year",H479/2,H479))))</f>
        <v/>
      </c>
    </row>
    <row r="480">
      <c r="E480" s="2" t="n"/>
      <c r="F480" s="2" t="n"/>
      <c r="H480" s="3" t="n"/>
      <c r="K480" s="2">
        <f>IF(F480="","",F480-J480)</f>
        <v/>
      </c>
      <c r="L480">
        <f>IF(F480="","",F480-TODAY())</f>
        <v/>
      </c>
      <c r="M480">
        <f>IF(F480="","",IF(L480&lt;0,"Expired",IF(L480&lt;=30,"⚠ Due in 30 Days",IF(L480&lt;=60,"Upcoming (60 Days)","Active"))))</f>
        <v/>
      </c>
      <c r="P480" s="3">
        <f>IF(G480="Monthly",H480*12,IF(G480="Quarterly",H480*4,IF(G480="Annual",H480,IF(G480="Multi-Year",H480/2,H480))))</f>
        <v/>
      </c>
    </row>
    <row r="481">
      <c r="E481" s="2" t="n"/>
      <c r="F481" s="2" t="n"/>
      <c r="H481" s="3" t="n"/>
      <c r="K481" s="2">
        <f>IF(F481="","",F481-J481)</f>
        <v/>
      </c>
      <c r="L481">
        <f>IF(F481="","",F481-TODAY())</f>
        <v/>
      </c>
      <c r="M481">
        <f>IF(F481="","",IF(L481&lt;0,"Expired",IF(L481&lt;=30,"⚠ Due in 30 Days",IF(L481&lt;=60,"Upcoming (60 Days)","Active"))))</f>
        <v/>
      </c>
      <c r="P481" s="3">
        <f>IF(G481="Monthly",H481*12,IF(G481="Quarterly",H481*4,IF(G481="Annual",H481,IF(G481="Multi-Year",H481/2,H481))))</f>
        <v/>
      </c>
    </row>
    <row r="482">
      <c r="E482" s="2" t="n"/>
      <c r="F482" s="2" t="n"/>
      <c r="H482" s="3" t="n"/>
      <c r="K482" s="2">
        <f>IF(F482="","",F482-J482)</f>
        <v/>
      </c>
      <c r="L482">
        <f>IF(F482="","",F482-TODAY())</f>
        <v/>
      </c>
      <c r="M482">
        <f>IF(F482="","",IF(L482&lt;0,"Expired",IF(L482&lt;=30,"⚠ Due in 30 Days",IF(L482&lt;=60,"Upcoming (60 Days)","Active"))))</f>
        <v/>
      </c>
      <c r="P482" s="3">
        <f>IF(G482="Monthly",H482*12,IF(G482="Quarterly",H482*4,IF(G482="Annual",H482,IF(G482="Multi-Year",H482/2,H482))))</f>
        <v/>
      </c>
    </row>
    <row r="483">
      <c r="E483" s="2" t="n"/>
      <c r="F483" s="2" t="n"/>
      <c r="H483" s="3" t="n"/>
      <c r="K483" s="2">
        <f>IF(F483="","",F483-J483)</f>
        <v/>
      </c>
      <c r="L483">
        <f>IF(F483="","",F483-TODAY())</f>
        <v/>
      </c>
      <c r="M483">
        <f>IF(F483="","",IF(L483&lt;0,"Expired",IF(L483&lt;=30,"⚠ Due in 30 Days",IF(L483&lt;=60,"Upcoming (60 Days)","Active"))))</f>
        <v/>
      </c>
      <c r="P483" s="3">
        <f>IF(G483="Monthly",H483*12,IF(G483="Quarterly",H483*4,IF(G483="Annual",H483,IF(G483="Multi-Year",H483/2,H483))))</f>
        <v/>
      </c>
    </row>
    <row r="484">
      <c r="E484" s="2" t="n"/>
      <c r="F484" s="2" t="n"/>
      <c r="H484" s="3" t="n"/>
      <c r="K484" s="2">
        <f>IF(F484="","",F484-J484)</f>
        <v/>
      </c>
      <c r="L484">
        <f>IF(F484="","",F484-TODAY())</f>
        <v/>
      </c>
      <c r="M484">
        <f>IF(F484="","",IF(L484&lt;0,"Expired",IF(L484&lt;=30,"⚠ Due in 30 Days",IF(L484&lt;=60,"Upcoming (60 Days)","Active"))))</f>
        <v/>
      </c>
      <c r="P484" s="3">
        <f>IF(G484="Monthly",H484*12,IF(G484="Quarterly",H484*4,IF(G484="Annual",H484,IF(G484="Multi-Year",H484/2,H484))))</f>
        <v/>
      </c>
    </row>
    <row r="485">
      <c r="E485" s="2" t="n"/>
      <c r="F485" s="2" t="n"/>
      <c r="H485" s="3" t="n"/>
      <c r="K485" s="2">
        <f>IF(F485="","",F485-J485)</f>
        <v/>
      </c>
      <c r="L485">
        <f>IF(F485="","",F485-TODAY())</f>
        <v/>
      </c>
      <c r="M485">
        <f>IF(F485="","",IF(L485&lt;0,"Expired",IF(L485&lt;=30,"⚠ Due in 30 Days",IF(L485&lt;=60,"Upcoming (60 Days)","Active"))))</f>
        <v/>
      </c>
      <c r="P485" s="3">
        <f>IF(G485="Monthly",H485*12,IF(G485="Quarterly",H485*4,IF(G485="Annual",H485,IF(G485="Multi-Year",H485/2,H485))))</f>
        <v/>
      </c>
    </row>
    <row r="486">
      <c r="E486" s="2" t="n"/>
      <c r="F486" s="2" t="n"/>
      <c r="H486" s="3" t="n"/>
      <c r="K486" s="2">
        <f>IF(F486="","",F486-J486)</f>
        <v/>
      </c>
      <c r="L486">
        <f>IF(F486="","",F486-TODAY())</f>
        <v/>
      </c>
      <c r="M486">
        <f>IF(F486="","",IF(L486&lt;0,"Expired",IF(L486&lt;=30,"⚠ Due in 30 Days",IF(L486&lt;=60,"Upcoming (60 Days)","Active"))))</f>
        <v/>
      </c>
      <c r="P486" s="3">
        <f>IF(G486="Monthly",H486*12,IF(G486="Quarterly",H486*4,IF(G486="Annual",H486,IF(G486="Multi-Year",H486/2,H486))))</f>
        <v/>
      </c>
    </row>
    <row r="487">
      <c r="E487" s="2" t="n"/>
      <c r="F487" s="2" t="n"/>
      <c r="H487" s="3" t="n"/>
      <c r="K487" s="2">
        <f>IF(F487="","",F487-J487)</f>
        <v/>
      </c>
      <c r="L487">
        <f>IF(F487="","",F487-TODAY())</f>
        <v/>
      </c>
      <c r="M487">
        <f>IF(F487="","",IF(L487&lt;0,"Expired",IF(L487&lt;=30,"⚠ Due in 30 Days",IF(L487&lt;=60,"Upcoming (60 Days)","Active"))))</f>
        <v/>
      </c>
      <c r="P487" s="3">
        <f>IF(G487="Monthly",H487*12,IF(G487="Quarterly",H487*4,IF(G487="Annual",H487,IF(G487="Multi-Year",H487/2,H487))))</f>
        <v/>
      </c>
    </row>
    <row r="488">
      <c r="E488" s="2" t="n"/>
      <c r="F488" s="2" t="n"/>
      <c r="H488" s="3" t="n"/>
      <c r="K488" s="2">
        <f>IF(F488="","",F488-J488)</f>
        <v/>
      </c>
      <c r="L488">
        <f>IF(F488="","",F488-TODAY())</f>
        <v/>
      </c>
      <c r="M488">
        <f>IF(F488="","",IF(L488&lt;0,"Expired",IF(L488&lt;=30,"⚠ Due in 30 Days",IF(L488&lt;=60,"Upcoming (60 Days)","Active"))))</f>
        <v/>
      </c>
      <c r="P488" s="3">
        <f>IF(G488="Monthly",H488*12,IF(G488="Quarterly",H488*4,IF(G488="Annual",H488,IF(G488="Multi-Year",H488/2,H488))))</f>
        <v/>
      </c>
    </row>
    <row r="489">
      <c r="E489" s="2" t="n"/>
      <c r="F489" s="2" t="n"/>
      <c r="H489" s="3" t="n"/>
      <c r="K489" s="2">
        <f>IF(F489="","",F489-J489)</f>
        <v/>
      </c>
      <c r="L489">
        <f>IF(F489="","",F489-TODAY())</f>
        <v/>
      </c>
      <c r="M489">
        <f>IF(F489="","",IF(L489&lt;0,"Expired",IF(L489&lt;=30,"⚠ Due in 30 Days",IF(L489&lt;=60,"Upcoming (60 Days)","Active"))))</f>
        <v/>
      </c>
      <c r="P489" s="3">
        <f>IF(G489="Monthly",H489*12,IF(G489="Quarterly",H489*4,IF(G489="Annual",H489,IF(G489="Multi-Year",H489/2,H489))))</f>
        <v/>
      </c>
    </row>
    <row r="490">
      <c r="E490" s="2" t="n"/>
      <c r="F490" s="2" t="n"/>
      <c r="H490" s="3" t="n"/>
      <c r="K490" s="2">
        <f>IF(F490="","",F490-J490)</f>
        <v/>
      </c>
      <c r="L490">
        <f>IF(F490="","",F490-TODAY())</f>
        <v/>
      </c>
      <c r="M490">
        <f>IF(F490="","",IF(L490&lt;0,"Expired",IF(L490&lt;=30,"⚠ Due in 30 Days",IF(L490&lt;=60,"Upcoming (60 Days)","Active"))))</f>
        <v/>
      </c>
      <c r="P490" s="3">
        <f>IF(G490="Monthly",H490*12,IF(G490="Quarterly",H490*4,IF(G490="Annual",H490,IF(G490="Multi-Year",H490/2,H490))))</f>
        <v/>
      </c>
    </row>
    <row r="491">
      <c r="E491" s="2" t="n"/>
      <c r="F491" s="2" t="n"/>
      <c r="H491" s="3" t="n"/>
      <c r="K491" s="2">
        <f>IF(F491="","",F491-J491)</f>
        <v/>
      </c>
      <c r="L491">
        <f>IF(F491="","",F491-TODAY())</f>
        <v/>
      </c>
      <c r="M491">
        <f>IF(F491="","",IF(L491&lt;0,"Expired",IF(L491&lt;=30,"⚠ Due in 30 Days",IF(L491&lt;=60,"Upcoming (60 Days)","Active"))))</f>
        <v/>
      </c>
      <c r="P491" s="3">
        <f>IF(G491="Monthly",H491*12,IF(G491="Quarterly",H491*4,IF(G491="Annual",H491,IF(G491="Multi-Year",H491/2,H491))))</f>
        <v/>
      </c>
    </row>
    <row r="492">
      <c r="E492" s="2" t="n"/>
      <c r="F492" s="2" t="n"/>
      <c r="H492" s="3" t="n"/>
      <c r="K492" s="2">
        <f>IF(F492="","",F492-J492)</f>
        <v/>
      </c>
      <c r="L492">
        <f>IF(F492="","",F492-TODAY())</f>
        <v/>
      </c>
      <c r="M492">
        <f>IF(F492="","",IF(L492&lt;0,"Expired",IF(L492&lt;=30,"⚠ Due in 30 Days",IF(L492&lt;=60,"Upcoming (60 Days)","Active"))))</f>
        <v/>
      </c>
      <c r="P492" s="3">
        <f>IF(G492="Monthly",H492*12,IF(G492="Quarterly",H492*4,IF(G492="Annual",H492,IF(G492="Multi-Year",H492/2,H492))))</f>
        <v/>
      </c>
    </row>
    <row r="493">
      <c r="E493" s="2" t="n"/>
      <c r="F493" s="2" t="n"/>
      <c r="H493" s="3" t="n"/>
      <c r="K493" s="2">
        <f>IF(F493="","",F493-J493)</f>
        <v/>
      </c>
      <c r="L493">
        <f>IF(F493="","",F493-TODAY())</f>
        <v/>
      </c>
      <c r="M493">
        <f>IF(F493="","",IF(L493&lt;0,"Expired",IF(L493&lt;=30,"⚠ Due in 30 Days",IF(L493&lt;=60,"Upcoming (60 Days)","Active"))))</f>
        <v/>
      </c>
      <c r="P493" s="3">
        <f>IF(G493="Monthly",H493*12,IF(G493="Quarterly",H493*4,IF(G493="Annual",H493,IF(G493="Multi-Year",H493/2,H493))))</f>
        <v/>
      </c>
    </row>
    <row r="494">
      <c r="E494" s="2" t="n"/>
      <c r="F494" s="2" t="n"/>
      <c r="H494" s="3" t="n"/>
      <c r="K494" s="2">
        <f>IF(F494="","",F494-J494)</f>
        <v/>
      </c>
      <c r="L494">
        <f>IF(F494="","",F494-TODAY())</f>
        <v/>
      </c>
      <c r="M494">
        <f>IF(F494="","",IF(L494&lt;0,"Expired",IF(L494&lt;=30,"⚠ Due in 30 Days",IF(L494&lt;=60,"Upcoming (60 Days)","Active"))))</f>
        <v/>
      </c>
      <c r="P494" s="3">
        <f>IF(G494="Monthly",H494*12,IF(G494="Quarterly",H494*4,IF(G494="Annual",H494,IF(G494="Multi-Year",H494/2,H494))))</f>
        <v/>
      </c>
    </row>
    <row r="495">
      <c r="E495" s="2" t="n"/>
      <c r="F495" s="2" t="n"/>
      <c r="H495" s="3" t="n"/>
      <c r="K495" s="2">
        <f>IF(F495="","",F495-J495)</f>
        <v/>
      </c>
      <c r="L495">
        <f>IF(F495="","",F495-TODAY())</f>
        <v/>
      </c>
      <c r="M495">
        <f>IF(F495="","",IF(L495&lt;0,"Expired",IF(L495&lt;=30,"⚠ Due in 30 Days",IF(L495&lt;=60,"Upcoming (60 Days)","Active"))))</f>
        <v/>
      </c>
      <c r="P495" s="3">
        <f>IF(G495="Monthly",H495*12,IF(G495="Quarterly",H495*4,IF(G495="Annual",H495,IF(G495="Multi-Year",H495/2,H495))))</f>
        <v/>
      </c>
    </row>
    <row r="496">
      <c r="E496" s="2" t="n"/>
      <c r="F496" s="2" t="n"/>
      <c r="H496" s="3" t="n"/>
      <c r="K496" s="2">
        <f>IF(F496="","",F496-J496)</f>
        <v/>
      </c>
      <c r="L496">
        <f>IF(F496="","",F496-TODAY())</f>
        <v/>
      </c>
      <c r="M496">
        <f>IF(F496="","",IF(L496&lt;0,"Expired",IF(L496&lt;=30,"⚠ Due in 30 Days",IF(L496&lt;=60,"Upcoming (60 Days)","Active"))))</f>
        <v/>
      </c>
      <c r="P496" s="3">
        <f>IF(G496="Monthly",H496*12,IF(G496="Quarterly",H496*4,IF(G496="Annual",H496,IF(G496="Multi-Year",H496/2,H496))))</f>
        <v/>
      </c>
    </row>
    <row r="497">
      <c r="E497" s="2" t="n"/>
      <c r="F497" s="2" t="n"/>
      <c r="H497" s="3" t="n"/>
      <c r="K497" s="2">
        <f>IF(F497="","",F497-J497)</f>
        <v/>
      </c>
      <c r="L497">
        <f>IF(F497="","",F497-TODAY())</f>
        <v/>
      </c>
      <c r="M497">
        <f>IF(F497="","",IF(L497&lt;0,"Expired",IF(L497&lt;=30,"⚠ Due in 30 Days",IF(L497&lt;=60,"Upcoming (60 Days)","Active"))))</f>
        <v/>
      </c>
      <c r="P497" s="3">
        <f>IF(G497="Monthly",H497*12,IF(G497="Quarterly",H497*4,IF(G497="Annual",H497,IF(G497="Multi-Year",H497/2,H497))))</f>
        <v/>
      </c>
    </row>
    <row r="498">
      <c r="E498" s="2" t="n"/>
      <c r="F498" s="2" t="n"/>
      <c r="H498" s="3" t="n"/>
      <c r="K498" s="2">
        <f>IF(F498="","",F498-J498)</f>
        <v/>
      </c>
      <c r="L498">
        <f>IF(F498="","",F498-TODAY())</f>
        <v/>
      </c>
      <c r="M498">
        <f>IF(F498="","",IF(L498&lt;0,"Expired",IF(L498&lt;=30,"⚠ Due in 30 Days",IF(L498&lt;=60,"Upcoming (60 Days)","Active"))))</f>
        <v/>
      </c>
      <c r="P498" s="3">
        <f>IF(G498="Monthly",H498*12,IF(G498="Quarterly",H498*4,IF(G498="Annual",H498,IF(G498="Multi-Year",H498/2,H498))))</f>
        <v/>
      </c>
    </row>
    <row r="499">
      <c r="E499" s="2" t="n"/>
      <c r="F499" s="2" t="n"/>
      <c r="H499" s="3" t="n"/>
      <c r="K499" s="2">
        <f>IF(F499="","",F499-J499)</f>
        <v/>
      </c>
      <c r="L499">
        <f>IF(F499="","",F499-TODAY())</f>
        <v/>
      </c>
      <c r="M499">
        <f>IF(F499="","",IF(L499&lt;0,"Expired",IF(L499&lt;=30,"⚠ Due in 30 Days",IF(L499&lt;=60,"Upcoming (60 Days)","Active"))))</f>
        <v/>
      </c>
      <c r="P499" s="3">
        <f>IF(G499="Monthly",H499*12,IF(G499="Quarterly",H499*4,IF(G499="Annual",H499,IF(G499="Multi-Year",H499/2,H499))))</f>
        <v/>
      </c>
    </row>
    <row r="500">
      <c r="E500" s="2" t="n"/>
      <c r="F500" s="2" t="n"/>
      <c r="H500" s="3" t="n"/>
      <c r="K500" s="2">
        <f>IF(F500="","",F500-J500)</f>
        <v/>
      </c>
      <c r="L500">
        <f>IF(F500="","",F500-TODAY())</f>
        <v/>
      </c>
      <c r="M500">
        <f>IF(F500="","",IF(L500&lt;0,"Expired",IF(L500&lt;=30,"⚠ Due in 30 Days",IF(L500&lt;=60,"Upcoming (60 Days)","Active"))))</f>
        <v/>
      </c>
      <c r="P500" s="3">
        <f>IF(G500="Monthly",H500*12,IF(G500="Quarterly",H500*4,IF(G500="Annual",H500,IF(G500="Multi-Year",H500/2,H500))))</f>
        <v/>
      </c>
    </row>
  </sheetData>
  <autoFilter ref="A1:P500"/>
  <conditionalFormatting sqref="A2:P500">
    <cfRule type="expression" priority="1" dxfId="0" stopIfTrue="1">
      <formula>=$L2&lt;0</formula>
    </cfRule>
    <cfRule type="expression" priority="2" dxfId="1" stopIfTrue="1">
      <formula>=$L2&lt;=30</formula>
    </cfRule>
    <cfRule type="expression" priority="3" dxfId="2">
      <formula>=AND($L2&gt;30,$L2&lt;=60)</formula>
    </cfRule>
  </conditionalFormatting>
  <dataValidations count="3">
    <dataValidation sqref="D2:D500" showDropDown="0" showInputMessage="0" showErrorMessage="0" allowBlank="1" type="list">
      <formula1>"SaaS,Insurance,Vendor,Lease,Other"</formula1>
    </dataValidation>
    <dataValidation sqref="G2:G500" showDropDown="0" showInputMessage="0" showErrorMessage="0" allowBlank="1" type="list">
      <formula1>"Monthly,Quarterly,Annual,Multi-Year"</formula1>
    </dataValidation>
    <dataValidation sqref="I2:I5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5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</cols>
  <sheetData>
    <row r="2">
      <c r="A2" s="4" t="inlineStr">
        <is>
          <t>Total Contracts</t>
        </is>
      </c>
      <c r="B2">
        <f>COUNTA(Contracts!B2:B500)</f>
        <v/>
      </c>
    </row>
    <row r="3">
      <c r="A3" s="4" t="inlineStr">
        <is>
          <t>Expiring in 30 Days</t>
        </is>
      </c>
      <c r="B3">
        <f>COUNTIF(Contracts!L2:L500,"&lt;=30")</f>
        <v/>
      </c>
    </row>
    <row r="4">
      <c r="A4" s="4" t="inlineStr">
        <is>
          <t>Expiring in 60 Days</t>
        </is>
      </c>
      <c r="B4">
        <f>COUNTIFS(Contracts!L2:L500,"&gt;30",Contracts!L2:L500,"&lt;=60")</f>
        <v/>
      </c>
    </row>
    <row r="5">
      <c r="A5" s="4" t="inlineStr">
        <is>
          <t>Total Annual Spend</t>
        </is>
      </c>
      <c r="B5" s="3">
        <f>SUM(Contracts!P2:P500)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5" t="inlineStr">
        <is>
          <t>How to use this template</t>
        </is>
      </c>
    </row>
    <row r="3">
      <c r="A3" t="inlineStr">
        <is>
          <t xml:space="preserve"> - Add contracts in Contracts sheet</t>
        </is>
      </c>
    </row>
    <row r="4">
      <c r="A4" t="inlineStr">
        <is>
          <t xml:space="preserve"> - Enter Renewal Date and Notice Period</t>
        </is>
      </c>
    </row>
    <row r="5">
      <c r="A5" t="inlineStr">
        <is>
          <t xml:space="preserve"> - Dashboard auto-updates</t>
        </is>
      </c>
    </row>
    <row r="6">
      <c r="A6" t="inlineStr">
        <is>
          <t xml:space="preserve"> - When managing 15+ contracts, consider automation</t>
        </is>
      </c>
    </row>
    <row r="8">
      <c r="A8" s="4" t="inlineStr">
        <is>
          <t>Built by KnowRenewals</t>
        </is>
      </c>
    </row>
    <row r="9">
      <c r="A9" s="6" t="inlineStr">
        <is>
          <t>Upgrade to automated reminders, Slack alerts, and reporting at KnowRenewals.com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2026-02-17T23:08:12Z</dcterms:created>
  <dcterms:modified xsi:type="dcterms:W3CDTF">2026-02-17T23:08:12Z</dcterms:modified>
</cp:coreProperties>
</file>